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5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6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ml.chartshapes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fonline-my.sharepoint.com/personal/57291_icf_com/Documents/Documents/Kenya 2022 DHS/"/>
    </mc:Choice>
  </mc:AlternateContent>
  <xr:revisionPtr revIDLastSave="278" documentId="8_{5459B1CA-640E-41E4-9FFF-6C20DD04C8CD}" xr6:coauthVersionLast="47" xr6:coauthVersionMax="47" xr10:uidLastSave="{1F85B7AE-EBC9-4D19-B113-26619A07834F}"/>
  <bookViews>
    <workbookView xWindow="-110" yWindow="-110" windowWidth="22780" windowHeight="14660" firstSheet="10" activeTab="13" xr2:uid="{00000000-000D-0000-FFFF-FFFF00000000}"/>
  </bookViews>
  <sheets>
    <sheet name="List of graphics Ch11" sheetId="7" r:id="rId1"/>
    <sheet name="11.1 Trends in nut status" sheetId="2" r:id="rId2"/>
    <sheet name="11.2 Trends in stunting" sheetId="1" r:id="rId3"/>
    <sheet name="11.3 stunting by background" sheetId="11" r:id="rId4"/>
    <sheet name="11.4 stunting map" sheetId="12" r:id="rId5"/>
    <sheet name="11.5 BF by age" sheetId="10" r:id="rId6"/>
    <sheet name="11.6 IYCF MAD" sheetId="5" r:id="rId7"/>
    <sheet name="11.7 Unhealthy food kids" sheetId="15" r:id="rId8"/>
    <sheet name="11.8 Childrens Anemia trends" sheetId="6" r:id="rId9"/>
    <sheet name="11.9 Anemia map" sheetId="13" r:id="rId10"/>
    <sheet name="11.10 Adol and adult nutrition" sheetId="14" r:id="rId11"/>
    <sheet name="11.11 Trends in adult nutrition" sheetId="8" r:id="rId12"/>
    <sheet name="11.12 Anemia in women" sheetId="17" r:id="rId13"/>
    <sheet name="11.13 MDD-W" sheetId="16" r:id="rId14"/>
  </sheets>
  <externalReferences>
    <externalReference r:id="rId1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7" l="1"/>
  <c r="D11" i="17"/>
  <c r="C11" i="17"/>
  <c r="E12" i="6"/>
  <c r="D12" i="6"/>
  <c r="C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tc={7C5113B2-BE19-48D4-8210-A4EE86E096EC}</author>
    <author>tc={42963B6D-A3FF-41F5-B315-D40F86CB7DB9}</author>
    <author>tc={6E9A6BAD-E98B-43C6-A758-0D2AB17469E8}</author>
    <author>tc={481EE888-B8C6-4974-A574-9B3123EAE86E}</author>
  </authors>
  <commentList>
    <comment ref="B11" authorId="0" shapeId="0" xr:uid="{7C5113B2-BE19-48D4-8210-A4EE86E0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only place I see anemia indicators is in the two Kenya MISs from 2015 and 2020</t>
      </text>
    </comment>
    <comment ref="C13" authorId="1" shapeId="0" xr:uid="{42963B6D-A3FF-41F5-B315-D40F86CB7D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only Kenya DHS table that contains nutritional status is 11.13, and that's for adult women only. No men, no adolescents</t>
      </text>
    </comment>
    <comment ref="C15" authorId="2" shapeId="0" xr:uid="{6E9A6BAD-E98B-43C6-A758-0D2AB17469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tale 11.17.1 and I can't find anemia in any of the Chapter 11 tables</t>
      </text>
    </comment>
    <comment ref="C16" authorId="3" shapeId="0" xr:uid="{481EE888-B8C6-4974-A574-9B3123EAE86E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11.16 is iodized salt. The correct tabl is 11.15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tc={7F59A51D-FD89-44A1-A46B-CF8B77B053D1}</author>
    <author>tc={AD88734A-8813-4EB5-9669-7974AE2D6C87}</author>
  </authors>
  <commentList>
    <comment ref="A14" authorId="0" shapeId="0" xr:uid="{7F59A51D-FD89-44A1-A46B-CF8B77B053D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Selected "all children" and "minimum acceptable diet" for this one</t>
      </text>
    </comment>
    <comment ref="A20" authorId="1" shapeId="0" xr:uid="{AD88734A-8813-4EB5-9669-7974AE2D6C8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Selected "all children" and "minimum acceptable diet" for this one too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tc={85F7B60D-3BFD-4424-9E60-4E2AA42212A2}</author>
  </authors>
  <commentList>
    <comment ref="B2" authorId="0" shapeId="0" xr:uid="{85F7B60D-3BFD-4424-9E60-4E2AA42212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very confusing. I can't find any mention of anemia in the tables, and the only place I can find these indicators on STATcompiler is in the two MISs that were done in 2015 and 2020...not in the previous DHSs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tc={1631F830-0AFC-44C2-B516-F2730364B8BD}</author>
  </authors>
  <commentList>
    <comment ref="B4" authorId="0" shapeId="0" xr:uid="{1631F830-0AFC-44C2-B516-F2730364B8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can only find nutritional status of women (Table 11.13) -- nothing about men or adolescents. </t>
      </text>
    </comment>
  </commentList>
</comments>
</file>

<file path=xl/sharedStrings.xml><?xml version="1.0" encoding="utf-8"?>
<sst xmlns="http://schemas.openxmlformats.org/spreadsheetml/2006/main" count="294" uniqueCount="166">
  <si>
    <t>Chapter 11- Nutrition</t>
  </si>
  <si>
    <t>Recommended #of figures: 8-10</t>
  </si>
  <si>
    <t>Figure #</t>
  </si>
  <si>
    <t>Figure Title</t>
  </si>
  <si>
    <t>Based on DHS8 Tabplan table #</t>
  </si>
  <si>
    <t>Disaggregation</t>
  </si>
  <si>
    <t>Visualization Type</t>
  </si>
  <si>
    <t>Trends in nutritional status of children</t>
  </si>
  <si>
    <t>11.1 and STATcompiler</t>
  </si>
  <si>
    <t>Stunting, wasting, underweight, overweight by survey year</t>
  </si>
  <si>
    <t>line graph</t>
  </si>
  <si>
    <t>Trends in stunting</t>
  </si>
  <si>
    <t>Stunting and severe stunting by survey year</t>
  </si>
  <si>
    <t>2 sets of column charts</t>
  </si>
  <si>
    <t>Stunting in children by [residence, mother's education, or household wealth]</t>
  </si>
  <si>
    <t>Choose one: urban/rural/total; mother's education, wealth</t>
  </si>
  <si>
    <t>column chart</t>
  </si>
  <si>
    <t>Stunting in children by [subnational unit]</t>
  </si>
  <si>
    <t>Subnational unit</t>
  </si>
  <si>
    <t>map</t>
  </si>
  <si>
    <t>Breastfeeding practices by age</t>
  </si>
  <si>
    <t>Exclusive breastfeeding, no breastfeeding, and breastfeeding with complementary feeding by age</t>
  </si>
  <si>
    <t>IYCF indicators on minimum acceptable diet (MAD)</t>
  </si>
  <si>
    <t>11.8 or 11.9</t>
  </si>
  <si>
    <t>Unhealthy feeding practices among children age 6-23 months</t>
  </si>
  <si>
    <t xml:space="preserve">breastfed/non breastfed </t>
  </si>
  <si>
    <t>Trends in childhood anemia</t>
  </si>
  <si>
    <t>11.12 and STATcompiler</t>
  </si>
  <si>
    <t>by severity</t>
  </si>
  <si>
    <t>stacked column chart</t>
  </si>
  <si>
    <t>Anemia prevalence in children by [subnational unit]</t>
  </si>
  <si>
    <t>11.10-</t>
  </si>
  <si>
    <t>Nutritional status adolescent and adult women and men</t>
  </si>
  <si>
    <t>11.14.1 -11.14.4</t>
  </si>
  <si>
    <t>Adolecents (15-19) and adults (20-49)</t>
  </si>
  <si>
    <t>Trends in women's nutritional status</t>
  </si>
  <si>
    <t>11.14.1 and 11.14.2 and STATcompiler</t>
  </si>
  <si>
    <t>Underweight, Overweight/obese</t>
  </si>
  <si>
    <t xml:space="preserve"> if 3+ surveys: line graph; 2 surveys only : column chart</t>
  </si>
  <si>
    <t>Anaemia in pregnant and non-pregnant women</t>
  </si>
  <si>
    <t>11.17.1</t>
  </si>
  <si>
    <t>pregnant/non-pregnant/total</t>
  </si>
  <si>
    <r>
      <t>Yellow cells should be updated by</t>
    </r>
    <r>
      <rPr>
        <sz val="11"/>
        <rFont val="Calibri"/>
        <family val="2"/>
        <scheme val="minor"/>
      </rPr>
      <t xml:space="preserve"> chapter author.</t>
    </r>
  </si>
  <si>
    <t xml:space="preserve">Chapter author should: </t>
  </si>
  <si>
    <t>Delete rows of figures that will not be included in the chapter.</t>
  </si>
  <si>
    <t>Re-number figures to match what they will be in final report.</t>
  </si>
  <si>
    <t>Rename the figure numbers in the Excel worksheet TAB name to match what they will be in final report.</t>
  </si>
  <si>
    <t>Title:</t>
  </si>
  <si>
    <t>Subtitle:</t>
  </si>
  <si>
    <t>Notes for Pubs:</t>
  </si>
  <si>
    <t>y axis is 0–80; could be adjusted based on data</t>
  </si>
  <si>
    <t>Notes for SM:</t>
  </si>
  <si>
    <t>2 chart sizes presented below based on how many data points and overlap- choose what is best with your data</t>
  </si>
  <si>
    <t>Stunted</t>
  </si>
  <si>
    <t>Wasted</t>
  </si>
  <si>
    <t>Underweight</t>
  </si>
  <si>
    <t>Overweight</t>
  </si>
  <si>
    <t xml:space="preserve"> </t>
  </si>
  <si>
    <t>Percentage of children under age 5 classified as stunted</t>
  </si>
  <si>
    <t>y axis is 0–100; could be adjusted if all data values are very low</t>
  </si>
  <si>
    <t>Any stunting</t>
  </si>
  <si>
    <t>Severe stunting</t>
  </si>
  <si>
    <t>Percentage of children under age 5 who are stunted</t>
  </si>
  <si>
    <t>RESIDENCE</t>
  </si>
  <si>
    <t>Total</t>
  </si>
  <si>
    <t>Urban</t>
  </si>
  <si>
    <t>Rural</t>
  </si>
  <si>
    <t>MOTHERS EDUCATION</t>
  </si>
  <si>
    <t>No education</t>
  </si>
  <si>
    <t>Primary</t>
  </si>
  <si>
    <t>Secondary</t>
  </si>
  <si>
    <t>More than secondary</t>
  </si>
  <si>
    <t>WEALTH INDEX</t>
  </si>
  <si>
    <t>Lowest</t>
  </si>
  <si>
    <t>Second</t>
  </si>
  <si>
    <t>Middle</t>
  </si>
  <si>
    <t>Fourth</t>
  </si>
  <si>
    <t>Highest</t>
  </si>
  <si>
    <t>Figure #.#  Stunting in children by [subnational unit]</t>
  </si>
  <si>
    <t>Map provided by ICF GIS Team</t>
  </si>
  <si>
    <t xml:space="preserve">Percent distribution of youngest children age 0-5 months </t>
  </si>
  <si>
    <t>Exclusive breastfeeding</t>
  </si>
  <si>
    <t>Breastmilk and plain water only</t>
  </si>
  <si>
    <t>Breastmilk and non-milk liquids</t>
  </si>
  <si>
    <t>Breastmilk and formula and/or animal milk</t>
  </si>
  <si>
    <t>Breastmilk and solid, semisolid, or soft foods</t>
  </si>
  <si>
    <t>Not breastfed</t>
  </si>
  <si>
    <t>0-1</t>
  </si>
  <si>
    <t>2-3</t>
  </si>
  <si>
    <t>4-5</t>
  </si>
  <si>
    <t>Total 0-5</t>
  </si>
  <si>
    <t xml:space="preserve">Subtitle: </t>
  </si>
  <si>
    <t>y axis is 0-100</t>
  </si>
  <si>
    <t>Breastfed</t>
  </si>
  <si>
    <t>Nonbreastfed</t>
  </si>
  <si>
    <t>All children 6–23 months</t>
  </si>
  <si>
    <t>Residence</t>
  </si>
  <si>
    <t xml:space="preserve">Figure #.#  Trends in childhood anemia </t>
  </si>
  <si>
    <t xml:space="preserve">y axis is 0–100; </t>
  </si>
  <si>
    <t>Totals may need to be manually adjusted</t>
  </si>
  <si>
    <t>2005–06
xDHS</t>
  </si>
  <si>
    <t>2010–11
xDHS</t>
  </si>
  <si>
    <t>2014
xDHS</t>
  </si>
  <si>
    <t>Mild</t>
  </si>
  <si>
    <t>Moderate</t>
  </si>
  <si>
    <t>Severe</t>
  </si>
  <si>
    <t xml:space="preserve">Figure #.#  Anemia in children by [subnational unit] </t>
  </si>
  <si>
    <t>Percentage of children age 6–59 months with any anemia</t>
  </si>
  <si>
    <t>Title</t>
  </si>
  <si>
    <t>Subtitle</t>
  </si>
  <si>
    <t>Adolescents 15-19</t>
  </si>
  <si>
    <t>Adults 20-49</t>
  </si>
  <si>
    <t>Women</t>
  </si>
  <si>
    <t>Men</t>
  </si>
  <si>
    <t>Thin</t>
  </si>
  <si>
    <t>Normal weight</t>
  </si>
  <si>
    <t>Obese</t>
  </si>
  <si>
    <t>y axis is 0–100, could be 0–50 if data points are all below 20</t>
  </si>
  <si>
    <t>Notes for SM: use line chart for 3+ survey years; use column chart for 2 surveys; make sure trend data are availabile in SC for proper age groups</t>
  </si>
  <si>
    <t>Overweight/obesity</t>
  </si>
  <si>
    <t xml:space="preserve">Title: </t>
  </si>
  <si>
    <t>Figure #.#  Anemia in pregnant and non-pregnant women</t>
  </si>
  <si>
    <t>y axis is 0–80; may be variable based on data; labels need manual adjustment</t>
  </si>
  <si>
    <t>Pregnant women</t>
  </si>
  <si>
    <t>Non-pregnant women</t>
  </si>
  <si>
    <t>EDUCATION</t>
  </si>
  <si>
    <t>Joanna emailed Trevor about the availability of these data in STATcompiler.</t>
  </si>
  <si>
    <t>Percentage of children under age 5 who have suboptimal growth</t>
  </si>
  <si>
    <t>area chart</t>
  </si>
  <si>
    <t>Unknown</t>
  </si>
  <si>
    <t>Minimum dietary diversity</t>
  </si>
  <si>
    <t>Minimum meal frequency</t>
  </si>
  <si>
    <t>Minimum acceptable diet</t>
  </si>
  <si>
    <t>Percentage of children age 6-23 months meeting feeding practice recommendations</t>
  </si>
  <si>
    <t>Choose one: breastfed/non breastfed/all; mother's education, wealth</t>
  </si>
  <si>
    <t>Breastfeeding status</t>
  </si>
  <si>
    <t>Mother's Education</t>
  </si>
  <si>
    <t>Wealth</t>
  </si>
  <si>
    <t>Percentage of children age 6–23 months with unhealthy feeding practices</t>
  </si>
  <si>
    <t>Consumed sweet beverages the day before the survey</t>
  </si>
  <si>
    <t>Consumed unhealthy foods the day before the survey</t>
  </si>
  <si>
    <t>Consumed zero vegetables or fruits the day before the survey</t>
  </si>
  <si>
    <t>Comsuned zero vegetables or fruits the day before the survey</t>
  </si>
  <si>
    <t>Percentage of children age 6–59 months classified as anemic</t>
  </si>
  <si>
    <t>Percent distribution of women and men age 15–19 and 20-49 by nutritional status</t>
  </si>
  <si>
    <t>Percentage of women age 20–49 who are:</t>
  </si>
  <si>
    <t>Percentage of women age 15–49 classified as anemic</t>
  </si>
  <si>
    <t>Percentage of women age 15-49 achieving minimum dietary diversity the day before the survey</t>
  </si>
  <si>
    <t>Minimum Dietary Diversity among women</t>
  </si>
  <si>
    <t>Choose one:
total/urban/rural; education; wealth</t>
  </si>
  <si>
    <t>1993
KDHS</t>
  </si>
  <si>
    <t>1998
KDHS</t>
  </si>
  <si>
    <t>2003
KDHS</t>
  </si>
  <si>
    <t>2008-09
KDHS</t>
  </si>
  <si>
    <t>2014
KDHS</t>
  </si>
  <si>
    <t>2022
KDHS</t>
  </si>
  <si>
    <t>Figure 11.1  Trends in child growth measures</t>
  </si>
  <si>
    <t>Figure 11.2  Trends in stunting</t>
  </si>
  <si>
    <t>2008-09</t>
  </si>
  <si>
    <t>Figure 11.3  Stunting in children by [residence, mother’s education, household wealth]</t>
  </si>
  <si>
    <t>Figure11.5 Infant feeding practices by age</t>
  </si>
  <si>
    <t>Figure 11.6  IYCF indicators on Minimum Acceptable Diet (MAD) by [breastfeeding status, mother's education, or wealth]</t>
  </si>
  <si>
    <t>Figure 11.7  Unhealthy feeding practices among children age 6-23 months by (breastfeeding status, mother's education, wealth, residence)</t>
  </si>
  <si>
    <t>Figure 11.10  Nutritional status of adolescent and adult women and men</t>
  </si>
  <si>
    <t>Figure 11.11  Trends in women’s nutritional status</t>
  </si>
  <si>
    <t>Figure 11.13  Minimum dietary diversity among women by [education, household wealth]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</si>
</sst>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6"/>
      <color rgb="FF0000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top" wrapText="1"/>
    </xf>
    <xf numFmtId="0" fontId="5" fillId="0" borderId="0" xfId="0" applyFont="1" applyAlignment="1">
      <alignment horizontal="center" vertical="center" readingOrder="1"/>
    </xf>
    <xf numFmtId="0" fontId="1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 wrapText="1"/>
    </xf>
    <xf numFmtId="0" fontId="0" fillId="3" borderId="0" xfId="0" applyFill="1" applyAlignment="1">
      <alignment vertical="top"/>
    </xf>
    <xf numFmtId="0" fontId="0" fillId="0" borderId="0" xfId="0" applyAlignment="1">
      <alignment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children under age 5 who are malnourished</a:t>
            </a:r>
          </a:p>
        </c:rich>
      </c:tx>
      <c:layout>
        <c:manualLayout>
          <c:xMode val="edge"/>
          <c:yMode val="edge"/>
          <c:x val="0.1282407407407407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1574074074074073E-2"/>
          <c:y val="0.16762630557412808"/>
          <c:w val="0.98379629629629628"/>
          <c:h val="0.66825799552833676"/>
        </c:manualLayout>
      </c:layout>
      <c:lineChart>
        <c:grouping val="standard"/>
        <c:varyColors val="0"/>
        <c:ser>
          <c:idx val="0"/>
          <c:order val="0"/>
          <c:tx>
            <c:strRef>
              <c:f>'11.1 Trends in nut status'!$A$8</c:f>
              <c:strCache>
                <c:ptCount val="1"/>
                <c:pt idx="0">
                  <c:v>Stunted</c:v>
                </c:pt>
              </c:strCache>
            </c:strRef>
          </c:tx>
          <c:spPr>
            <a:ln w="34925">
              <a:solidFill>
                <a:schemeClr val="accent3"/>
              </a:solidFill>
            </a:ln>
          </c:spPr>
          <c:marker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status'!$B$8:$G$8</c:f>
              <c:numCache>
                <c:formatCode>General</c:formatCode>
                <c:ptCount val="6"/>
                <c:pt idx="0">
                  <c:v>40</c:v>
                </c:pt>
                <c:pt idx="1">
                  <c:v>38</c:v>
                </c:pt>
                <c:pt idx="2">
                  <c:v>36</c:v>
                </c:pt>
                <c:pt idx="3">
                  <c:v>35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6-485E-A1C9-D722707B1E89}"/>
            </c:ext>
          </c:extLst>
        </c:ser>
        <c:ser>
          <c:idx val="1"/>
          <c:order val="1"/>
          <c:tx>
            <c:strRef>
              <c:f>'11.1 Trends in nut status'!$A$9</c:f>
              <c:strCache>
                <c:ptCount val="1"/>
                <c:pt idx="0">
                  <c:v>Wasted</c:v>
                </c:pt>
              </c:strCache>
            </c:strRef>
          </c:tx>
          <c:spPr>
            <a:ln w="34925"/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status'!$B$9:$G$9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16-485E-A1C9-D722707B1E89}"/>
            </c:ext>
          </c:extLst>
        </c:ser>
        <c:ser>
          <c:idx val="2"/>
          <c:order val="2"/>
          <c:tx>
            <c:strRef>
              <c:f>'11.1 Trends in nut status'!$A$10</c:f>
              <c:strCache>
                <c:ptCount val="1"/>
                <c:pt idx="0">
                  <c:v>Underweight</c:v>
                </c:pt>
              </c:strCache>
            </c:strRef>
          </c:tx>
          <c:spPr>
            <a:ln w="34925"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status'!$B$10:$G$10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16-485E-A1C9-D722707B1E89}"/>
            </c:ext>
          </c:extLst>
        </c:ser>
        <c:ser>
          <c:idx val="3"/>
          <c:order val="3"/>
          <c:tx>
            <c:strRef>
              <c:f>'11.1 Trends in nut status'!$A$11</c:f>
              <c:strCache>
                <c:ptCount val="1"/>
                <c:pt idx="0">
                  <c:v>Overweight</c:v>
                </c:pt>
              </c:strCache>
            </c:strRef>
          </c:tx>
          <c:spPr>
            <a:ln w="34925"/>
          </c:spPr>
          <c:marker>
            <c:symbol val="circle"/>
            <c:size val="7"/>
          </c:marker>
          <c:dLbls>
            <c:dLbl>
              <c:idx val="0"/>
              <c:layout>
                <c:manualLayout>
                  <c:x val="-3.357648002333042E-2"/>
                  <c:y val="4.7376543209876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EA-4C62-9407-11E35ACB2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status'!$B$11:$G$11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316-485E-A1C9-D722707B1E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767344"/>
        <c:axId val="189767728"/>
      </c:lineChart>
      <c:catAx>
        <c:axId val="189767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89767728"/>
        <c:crosses val="autoZero"/>
        <c:auto val="1"/>
        <c:lblAlgn val="ctr"/>
        <c:lblOffset val="100"/>
        <c:noMultiLvlLbl val="0"/>
      </c:catAx>
      <c:valAx>
        <c:axId val="189767728"/>
        <c:scaling>
          <c:orientation val="minMax"/>
          <c:max val="60"/>
        </c:scaling>
        <c:delete val="1"/>
        <c:axPos val="l"/>
        <c:numFmt formatCode="General" sourceLinked="1"/>
        <c:majorTickMark val="none"/>
        <c:minorTickMark val="none"/>
        <c:tickLblPos val="nextTo"/>
        <c:crossAx val="18976734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children under age 5 who</a:t>
            </a:r>
            <a:br>
              <a:rPr lang="en-US" sz="1800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1800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are malnourished</a:t>
            </a:r>
          </a:p>
        </c:rich>
      </c:tx>
      <c:layout>
        <c:manualLayout>
          <c:xMode val="edge"/>
          <c:yMode val="edge"/>
          <c:x val="0.131179097404491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72222222222222E-3"/>
          <c:y val="0.18923131136385729"/>
          <c:w val="0.74826388888888884"/>
          <c:h val="0.64665305725673183"/>
        </c:manualLayout>
      </c:layout>
      <c:lineChart>
        <c:grouping val="standard"/>
        <c:varyColors val="0"/>
        <c:ser>
          <c:idx val="0"/>
          <c:order val="0"/>
          <c:tx>
            <c:strRef>
              <c:f>'11.1 Trends in nut status'!$A$8</c:f>
              <c:strCache>
                <c:ptCount val="1"/>
                <c:pt idx="0">
                  <c:v>Stunted</c:v>
                </c:pt>
              </c:strCache>
            </c:strRef>
          </c:tx>
          <c:spPr>
            <a:ln w="34925">
              <a:solidFill>
                <a:schemeClr val="accent3"/>
              </a:solidFill>
            </a:ln>
          </c:spPr>
          <c:marker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status'!$B$8:$G$8</c:f>
              <c:numCache>
                <c:formatCode>General</c:formatCode>
                <c:ptCount val="6"/>
                <c:pt idx="0">
                  <c:v>40</c:v>
                </c:pt>
                <c:pt idx="1">
                  <c:v>38</c:v>
                </c:pt>
                <c:pt idx="2">
                  <c:v>36</c:v>
                </c:pt>
                <c:pt idx="3">
                  <c:v>35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1D-4406-9680-01B6CF6893FA}"/>
            </c:ext>
          </c:extLst>
        </c:ser>
        <c:ser>
          <c:idx val="1"/>
          <c:order val="1"/>
          <c:tx>
            <c:strRef>
              <c:f>'11.1 Trends in nut status'!$A$9</c:f>
              <c:strCache>
                <c:ptCount val="1"/>
                <c:pt idx="0">
                  <c:v>Wasted</c:v>
                </c:pt>
              </c:strCache>
            </c:strRef>
          </c:tx>
          <c:spPr>
            <a:ln w="34925"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0"/>
              <c:layout>
                <c:manualLayout>
                  <c:x val="-3.3576480023330427E-2"/>
                  <c:y val="-5.44753086419754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12-49CA-B12F-28A3E9E9EE99}"/>
                </c:ext>
              </c:extLst>
            </c:dLbl>
            <c:dLbl>
              <c:idx val="1"/>
              <c:layout>
                <c:manualLayout>
                  <c:x val="-3.3576480023330461E-2"/>
                  <c:y val="4.1203703703703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12-49CA-B12F-28A3E9E9EE99}"/>
                </c:ext>
              </c:extLst>
            </c:dLbl>
            <c:dLbl>
              <c:idx val="2"/>
              <c:layout>
                <c:manualLayout>
                  <c:x val="-3.357648002333042E-2"/>
                  <c:y val="4.4290123456790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12-49CA-B12F-28A3E9E9EE99}"/>
                </c:ext>
              </c:extLst>
            </c:dLbl>
            <c:dLbl>
              <c:idx val="3"/>
              <c:layout>
                <c:manualLayout>
                  <c:x val="-3.5891294838145314E-2"/>
                  <c:y val="4.4290123456790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12-49CA-B12F-28A3E9E9E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status'!$B$9:$G$9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1D-4406-9680-01B6CF6893FA}"/>
            </c:ext>
          </c:extLst>
        </c:ser>
        <c:ser>
          <c:idx val="2"/>
          <c:order val="2"/>
          <c:tx>
            <c:strRef>
              <c:f>'11.1 Trends in nut status'!$A$10</c:f>
              <c:strCache>
                <c:ptCount val="1"/>
                <c:pt idx="0">
                  <c:v>Underweight</c:v>
                </c:pt>
              </c:strCache>
            </c:strRef>
          </c:tx>
          <c:spPr>
            <a:ln w="34925"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status'!$B$10:$G$10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11D-4406-9680-01B6CF6893FA}"/>
            </c:ext>
          </c:extLst>
        </c:ser>
        <c:ser>
          <c:idx val="3"/>
          <c:order val="3"/>
          <c:tx>
            <c:strRef>
              <c:f>'11.1 Trends in nut status'!$A$11</c:f>
              <c:strCache>
                <c:ptCount val="1"/>
                <c:pt idx="0">
                  <c:v>Overweight</c:v>
                </c:pt>
              </c:strCache>
            </c:strRef>
          </c:tx>
          <c:spPr>
            <a:ln w="34925"/>
          </c:spPr>
          <c:marker>
            <c:symbol val="circle"/>
            <c:size val="7"/>
          </c:marker>
          <c:dLbls>
            <c:dLbl>
              <c:idx val="0"/>
              <c:layout>
                <c:manualLayout>
                  <c:x val="-3.1261665208515615E-2"/>
                  <c:y val="4.8302469135802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12-49CA-B12F-28A3E9E9EE99}"/>
                </c:ext>
              </c:extLst>
            </c:dLbl>
            <c:dLbl>
              <c:idx val="1"/>
              <c:layout>
                <c:manualLayout>
                  <c:x val="-2.8946850393700787E-2"/>
                  <c:y val="-5.0462962962963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12-49CA-B12F-28A3E9E9EE99}"/>
                </c:ext>
              </c:extLst>
            </c:dLbl>
            <c:dLbl>
              <c:idx val="3"/>
              <c:layout>
                <c:manualLayout>
                  <c:x val="-8.1135170603675397E-3"/>
                  <c:y val="-2.88580246913580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12-49CA-B12F-28A3E9E9E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 Trends in nut status'!$B$7:$G$7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 Trends in nut status'!$B$11:$G$11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11D-4406-9680-01B6CF6893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799920"/>
        <c:axId val="190148968"/>
      </c:lineChart>
      <c:catAx>
        <c:axId val="189799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90148968"/>
        <c:crosses val="autoZero"/>
        <c:auto val="1"/>
        <c:lblAlgn val="ctr"/>
        <c:lblOffset val="100"/>
        <c:noMultiLvlLbl val="0"/>
      </c:catAx>
      <c:valAx>
        <c:axId val="190148968"/>
        <c:scaling>
          <c:orientation val="minMax"/>
          <c:max val="80"/>
        </c:scaling>
        <c:delete val="1"/>
        <c:axPos val="l"/>
        <c:majorGridlines>
          <c:spPr>
            <a:ln w="6350"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1897999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</a:rPr>
              <a:t>Percentage of children under age 5 who are stunted</a:t>
            </a:r>
          </a:p>
        </c:rich>
      </c:tx>
      <c:layout>
        <c:manualLayout>
          <c:xMode val="edge"/>
          <c:yMode val="edge"/>
          <c:x val="0.13057870370370367"/>
          <c:y val="3.453630796150481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884824219122975E-2"/>
          <c:y val="3.8434308614648978E-2"/>
          <c:w val="0.9907407407407407"/>
          <c:h val="0.6877853115582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'11.2 Trends in stunting'!$C$6</c:f>
              <c:strCache>
                <c:ptCount val="1"/>
              </c:strCache>
            </c:strRef>
          </c:tx>
          <c:spPr>
            <a:solidFill>
              <a:schemeClr val="accent3"/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9B3-4920-8230-69CE3DFA540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C9B3-4920-8230-69CE3DFA54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C9B3-4920-8230-69CE3DFA54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C9B3-4920-8230-69CE3DFA54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'11.2 Trends in stunting'!$B$7:$B$19</c:f>
              <c:strCache>
                <c:ptCount val="13"/>
                <c:pt idx="0">
                  <c:v>1989</c:v>
                </c:pt>
                <c:pt idx="1">
                  <c:v>1998</c:v>
                </c:pt>
                <c:pt idx="2">
                  <c:v>2003</c:v>
                </c:pt>
                <c:pt idx="3">
                  <c:v>2008-09</c:v>
                </c:pt>
                <c:pt idx="4">
                  <c:v>2014</c:v>
                </c:pt>
                <c:pt idx="5">
                  <c:v>2022</c:v>
                </c:pt>
                <c:pt idx="7">
                  <c:v>1989</c:v>
                </c:pt>
                <c:pt idx="8">
                  <c:v>1998</c:v>
                </c:pt>
                <c:pt idx="9">
                  <c:v>2003</c:v>
                </c:pt>
                <c:pt idx="10">
                  <c:v>2008-09</c:v>
                </c:pt>
                <c:pt idx="11">
                  <c:v>2014</c:v>
                </c:pt>
                <c:pt idx="12">
                  <c:v>2022</c:v>
                </c:pt>
              </c:strCache>
            </c:strRef>
          </c:cat>
          <c:val>
            <c:numRef>
              <c:f>'11.2 Trends in stunting'!$C$7:$C$19</c:f>
              <c:numCache>
                <c:formatCode>General</c:formatCode>
                <c:ptCount val="13"/>
                <c:pt idx="0">
                  <c:v>40</c:v>
                </c:pt>
                <c:pt idx="1">
                  <c:v>38</c:v>
                </c:pt>
                <c:pt idx="2">
                  <c:v>36</c:v>
                </c:pt>
                <c:pt idx="3">
                  <c:v>35</c:v>
                </c:pt>
                <c:pt idx="4">
                  <c:v>26</c:v>
                </c:pt>
                <c:pt idx="5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6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B3-4920-8230-69CE3DFA54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90195296"/>
        <c:axId val="190195680"/>
      </c:barChart>
      <c:catAx>
        <c:axId val="190195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</a:defRPr>
            </a:pPr>
            <a:endParaRPr lang="en-US"/>
          </a:p>
        </c:txPr>
        <c:crossAx val="190195680"/>
        <c:crosses val="autoZero"/>
        <c:auto val="1"/>
        <c:lblAlgn val="ctr"/>
        <c:lblOffset val="100"/>
        <c:noMultiLvlLbl val="0"/>
      </c:catAx>
      <c:valAx>
        <c:axId val="190195680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1952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</a:rPr>
              <a:t>Percentage of children under age 5 who are stunted</a:t>
            </a:r>
          </a:p>
        </c:rich>
      </c:tx>
      <c:layout>
        <c:manualLayout>
          <c:xMode val="edge"/>
          <c:yMode val="edge"/>
          <c:x val="0.12834481627296587"/>
          <c:y val="5.503791192767571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592592592592587E-3"/>
          <c:y val="0.12835593467483233"/>
          <c:w val="0.98379629629629628"/>
          <c:h val="0.701355594439583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</c:spPr>
          <c:invertIfNegative val="0"/>
          <c:dPt>
            <c:idx val="4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480F-456F-9CBB-EAC0D2F3D69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'11.3 stunting by background'!$A$22:$A$25</c:f>
              <c:strCache>
                <c:ptCount val="4"/>
                <c:pt idx="0">
                  <c:v>No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More than secondary</c:v>
                </c:pt>
              </c:strCache>
            </c:strRef>
          </c:cat>
          <c:val>
            <c:numRef>
              <c:f>'11.3 stunting by background'!$B$22:$B$25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15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F-456F-9CBB-EAC0D2F3D6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61384"/>
        <c:axId val="190261768"/>
      </c:barChart>
      <c:catAx>
        <c:axId val="190261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90261768"/>
        <c:crosses val="autoZero"/>
        <c:auto val="1"/>
        <c:lblAlgn val="ctr"/>
        <c:lblOffset val="100"/>
        <c:noMultiLvlLbl val="0"/>
      </c:catAx>
      <c:valAx>
        <c:axId val="190261768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1902613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</a:rPr>
              <a:t>Percentage of children under age 5 who are stunted</a:t>
            </a:r>
          </a:p>
        </c:rich>
      </c:tx>
      <c:layout>
        <c:manualLayout>
          <c:xMode val="edge"/>
          <c:yMode val="edge"/>
          <c:x val="0.1206944444444444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7777777777777776E-2"/>
          <c:y val="0.12095849129969864"/>
          <c:w val="0.97222222222222221"/>
          <c:h val="0.689179790026246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6A85-4FED-9858-CD3843B150B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'11.3 stunting by background'!$A$28:$A$32</c:f>
              <c:strCache>
                <c:ptCount val="5"/>
                <c:pt idx="0">
                  <c:v>Lowest</c:v>
                </c:pt>
                <c:pt idx="1">
                  <c:v>Second</c:v>
                </c:pt>
                <c:pt idx="2">
                  <c:v>Middle</c:v>
                </c:pt>
                <c:pt idx="3">
                  <c:v>Fourth</c:v>
                </c:pt>
                <c:pt idx="4">
                  <c:v>Highest</c:v>
                </c:pt>
              </c:strCache>
            </c:strRef>
          </c:cat>
          <c:val>
            <c:numRef>
              <c:f>'11.3 stunting by background'!$B$28:$B$32</c:f>
              <c:numCache>
                <c:formatCode>General</c:formatCode>
                <c:ptCount val="5"/>
                <c:pt idx="0">
                  <c:v>28</c:v>
                </c:pt>
                <c:pt idx="1">
                  <c:v>22</c:v>
                </c:pt>
                <c:pt idx="2">
                  <c:v>16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5-4FED-9858-CD3843B150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760"/>
        <c:axId val="190276152"/>
      </c:barChart>
      <c:catAx>
        <c:axId val="190275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crossAx val="190276152"/>
        <c:crosses val="autoZero"/>
        <c:auto val="1"/>
        <c:lblAlgn val="ctr"/>
        <c:lblOffset val="100"/>
        <c:noMultiLvlLbl val="0"/>
      </c:catAx>
      <c:valAx>
        <c:axId val="190276152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7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800" b="0" i="1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Percentage of children under age 5 who are stunted</a:t>
            </a:r>
            <a:endParaRPr lang="en-US" i="1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57029199475065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17607174103234E-3"/>
          <c:y val="0.2819556539807524"/>
          <c:w val="0.99189823928258969"/>
          <c:h val="0.604217246281714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860F-44CD-AF09-CA5BEBE770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860F-44CD-AF09-CA5BEBE770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860F-44CD-AF09-CA5BEBE770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'11.3 stunting by background'!$A$9:$A$11</c:f>
              <c:strCache>
                <c:ptCount val="3"/>
                <c:pt idx="0">
                  <c:v>Total</c:v>
                </c:pt>
                <c:pt idx="1">
                  <c:v>Urban</c:v>
                </c:pt>
                <c:pt idx="2">
                  <c:v>Rural</c:v>
                </c:pt>
              </c:strCache>
            </c:strRef>
          </c:cat>
          <c:val>
            <c:numRef>
              <c:f>'11.3 stunting by background'!$B$9:$B$11</c:f>
              <c:numCache>
                <c:formatCode>General</c:formatCode>
                <c:ptCount val="3"/>
                <c:pt idx="0">
                  <c:v>18</c:v>
                </c:pt>
                <c:pt idx="1">
                  <c:v>12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0F-44CD-AF09-CA5BEBE770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64291536"/>
        <c:axId val="164291144"/>
      </c:barChart>
      <c:catAx>
        <c:axId val="164291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91144"/>
        <c:crosses val="autoZero"/>
        <c:auto val="1"/>
        <c:lblAlgn val="ctr"/>
        <c:lblOffset val="100"/>
        <c:noMultiLvlLbl val="0"/>
      </c:catAx>
      <c:valAx>
        <c:axId val="164291144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42915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 distribution of youngest children age 0-5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29746281714783E-2"/>
          <c:y val="0.12615646258503402"/>
          <c:w val="0.5217593503937008"/>
          <c:h val="0.70880212890055405"/>
        </c:manualLayout>
      </c:layout>
      <c:areaChart>
        <c:grouping val="stacked"/>
        <c:varyColors val="0"/>
        <c:ser>
          <c:idx val="0"/>
          <c:order val="0"/>
          <c:tx>
            <c:strRef>
              <c:f>'11.5 BF by age'!$B$7</c:f>
              <c:strCache>
                <c:ptCount val="1"/>
                <c:pt idx="0">
                  <c:v>Exclusive breastfeeding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age'!$B$8:$B$10</c:f>
              <c:numCache>
                <c:formatCode>General</c:formatCode>
                <c:ptCount val="3"/>
                <c:pt idx="0">
                  <c:v>77</c:v>
                </c:pt>
                <c:pt idx="1">
                  <c:v>61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F-42C9-8150-7A0A598977CD}"/>
            </c:ext>
          </c:extLst>
        </c:ser>
        <c:ser>
          <c:idx val="1"/>
          <c:order val="1"/>
          <c:tx>
            <c:strRef>
              <c:f>'11.5 BF by age'!$C$7</c:f>
              <c:strCache>
                <c:ptCount val="1"/>
                <c:pt idx="0">
                  <c:v>Breastmilk and plain water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age'!$C$8:$C$10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F-42C9-8150-7A0A598977CD}"/>
            </c:ext>
          </c:extLst>
        </c:ser>
        <c:ser>
          <c:idx val="2"/>
          <c:order val="2"/>
          <c:tx>
            <c:strRef>
              <c:f>'11.5 BF by age'!$D$7</c:f>
              <c:strCache>
                <c:ptCount val="1"/>
                <c:pt idx="0">
                  <c:v>Breastmilk and non-milk liquids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age'!$D$8:$D$10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F-42C9-8150-7A0A598977CD}"/>
            </c:ext>
          </c:extLst>
        </c:ser>
        <c:ser>
          <c:idx val="3"/>
          <c:order val="3"/>
          <c:tx>
            <c:strRef>
              <c:f>'11.5 BF by age'!$E$7</c:f>
              <c:strCache>
                <c:ptCount val="1"/>
                <c:pt idx="0">
                  <c:v>Breastmilk and formula and/or animal milk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age'!$E$8:$E$10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F-42C9-8150-7A0A598977CD}"/>
            </c:ext>
          </c:extLst>
        </c:ser>
        <c:ser>
          <c:idx val="4"/>
          <c:order val="4"/>
          <c:tx>
            <c:strRef>
              <c:f>'11.5 BF by age'!$F$7</c:f>
              <c:strCache>
                <c:ptCount val="1"/>
                <c:pt idx="0">
                  <c:v>Breastmilk and solid, semisolid, or soft foods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age'!$F$8:$F$10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DF-42C9-8150-7A0A598977CD}"/>
            </c:ext>
          </c:extLst>
        </c:ser>
        <c:ser>
          <c:idx val="5"/>
          <c:order val="5"/>
          <c:tx>
            <c:strRef>
              <c:f>'11.5 BF by age'!$G$7</c:f>
              <c:strCache>
                <c:ptCount val="1"/>
                <c:pt idx="0">
                  <c:v>Not breastfed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age'!$G$8:$G$10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F-42C9-8150-7A0A598977CD}"/>
            </c:ext>
          </c:extLst>
        </c:ser>
        <c:ser>
          <c:idx val="6"/>
          <c:order val="6"/>
          <c:tx>
            <c:strRef>
              <c:f>'11.5 BF by age'!$H$7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'11.5 BF by age'!$A$8:$A$10</c:f>
              <c:strCache>
                <c:ptCount val="3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</c:strCache>
            </c:strRef>
          </c:cat>
          <c:val>
            <c:numRef>
              <c:f>'11.5 BF by age'!$H$8:$H$10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6-4EC1-9631-8C0500CE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3072"/>
        <c:axId val="627034320"/>
      </c:areaChart>
      <c:catAx>
        <c:axId val="62703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Age in months</a:t>
                </a:r>
              </a:p>
            </c:rich>
          </c:tx>
          <c:layout>
            <c:manualLayout>
              <c:xMode val="edge"/>
              <c:yMode val="edge"/>
              <c:x val="0.22213104221347335"/>
              <c:y val="0.9268518518518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034320"/>
        <c:crosses val="autoZero"/>
        <c:auto val="1"/>
        <c:lblAlgn val="ctr"/>
        <c:lblOffset val="100"/>
        <c:noMultiLvlLbl val="0"/>
      </c:catAx>
      <c:valAx>
        <c:axId val="627034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03307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87368766404205"/>
          <c:y val="0.15209438105951043"/>
          <c:w val="0.3347790901137358"/>
          <c:h val="0.77441423657402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800" b="0" i="1" u="none" strike="noStrike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Percentage of children age 6-23 months meeting feeding practice recommendations</a:t>
            </a:r>
            <a:r>
              <a:rPr lang="en-US" sz="1800" b="1" i="1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 b="0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1932291666666667"/>
          <c:y val="6.304026185915950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0.15631257898318265"/>
          <c:w val="0.99652777777777779"/>
          <c:h val="0.61133809662681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'11.6 IYCF MAD'!$B$9</c:f>
              <c:strCache>
                <c:ptCount val="1"/>
                <c:pt idx="0">
                  <c:v>Breastfed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'11.6 IYCF MAD'!$A$10:$A$12</c:f>
              <c:strCache>
                <c:ptCount val="3"/>
                <c:pt idx="0">
                  <c:v>Minimum dietary diversity</c:v>
                </c:pt>
                <c:pt idx="1">
                  <c:v>Minimum meal frequency</c:v>
                </c:pt>
                <c:pt idx="2">
                  <c:v>Minimum acceptable diet</c:v>
                </c:pt>
              </c:strCache>
            </c:strRef>
          </c:cat>
          <c:val>
            <c:numRef>
              <c:f>'11.6 IYCF MAD'!$B$10:$B$12</c:f>
              <c:numCache>
                <c:formatCode>General</c:formatCode>
                <c:ptCount val="3"/>
                <c:pt idx="0">
                  <c:v>39</c:v>
                </c:pt>
                <c:pt idx="1">
                  <c:v>71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7-4CC7-95FC-E212F07F73D4}"/>
            </c:ext>
          </c:extLst>
        </c:ser>
        <c:ser>
          <c:idx val="1"/>
          <c:order val="1"/>
          <c:tx>
            <c:strRef>
              <c:f>'11.6 IYCF MAD'!$C$9</c:f>
              <c:strCache>
                <c:ptCount val="1"/>
                <c:pt idx="0">
                  <c:v>Nonbreastfed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'11.6 IYCF MAD'!$A$10:$A$12</c:f>
              <c:strCache>
                <c:ptCount val="3"/>
                <c:pt idx="0">
                  <c:v>Minimum dietary diversity</c:v>
                </c:pt>
                <c:pt idx="1">
                  <c:v>Minimum meal frequency</c:v>
                </c:pt>
                <c:pt idx="2">
                  <c:v>Minimum acceptable diet</c:v>
                </c:pt>
              </c:strCache>
            </c:strRef>
          </c:cat>
          <c:val>
            <c:numRef>
              <c:f>'11.6 IYCF MAD'!$C$10:$C$12</c:f>
              <c:numCache>
                <c:formatCode>General</c:formatCode>
                <c:ptCount val="3"/>
                <c:pt idx="0">
                  <c:v>29</c:v>
                </c:pt>
                <c:pt idx="1">
                  <c:v>71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7-4CC7-95FC-E212F07F73D4}"/>
            </c:ext>
          </c:extLst>
        </c:ser>
        <c:ser>
          <c:idx val="2"/>
          <c:order val="2"/>
          <c:tx>
            <c:strRef>
              <c:f>'11.6 IYCF MAD'!$D$9</c:f>
              <c:strCache>
                <c:ptCount val="1"/>
                <c:pt idx="0">
                  <c:v>All children 6–23 months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'11.6 IYCF MAD'!$A$10:$A$12</c:f>
              <c:strCache>
                <c:ptCount val="3"/>
                <c:pt idx="0">
                  <c:v>Minimum dietary diversity</c:v>
                </c:pt>
                <c:pt idx="1">
                  <c:v>Minimum meal frequency</c:v>
                </c:pt>
                <c:pt idx="2">
                  <c:v>Minimum acceptable diet</c:v>
                </c:pt>
              </c:strCache>
            </c:strRef>
          </c:cat>
          <c:val>
            <c:numRef>
              <c:f>'11.6 IYCF MAD'!$D$10:$D$12</c:f>
              <c:numCache>
                <c:formatCode>General</c:formatCode>
                <c:ptCount val="3"/>
                <c:pt idx="0">
                  <c:v>37</c:v>
                </c:pt>
                <c:pt idx="1">
                  <c:v>71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F7-4CC7-95FC-E212F07F73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368"/>
        <c:axId val="190274976"/>
      </c:barChart>
      <c:catAx>
        <c:axId val="190275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90274976"/>
        <c:crosses val="autoZero"/>
        <c:auto val="1"/>
        <c:lblAlgn val="ctr"/>
        <c:lblOffset val="100"/>
        <c:noMultiLvlLbl val="0"/>
      </c:catAx>
      <c:valAx>
        <c:axId val="190274976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8.2986111111111108E-2"/>
          <c:y val="0.17545273057084082"/>
          <c:w val="0.83576388888888886"/>
          <c:h val="7.9965733449985421E-2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</a:rPr>
              <a:t>Percentage of children age 6-23 months meeting feeding practice recommendations</a:t>
            </a:r>
          </a:p>
        </c:rich>
      </c:tx>
      <c:layout>
        <c:manualLayout>
          <c:xMode val="edge"/>
          <c:yMode val="edge"/>
          <c:x val="0.12834481627296587"/>
          <c:y val="5.503791192767571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592592592592587E-3"/>
          <c:y val="0.12835593467483233"/>
          <c:w val="0.98379629629629628"/>
          <c:h val="0.701355594439583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</c:spPr>
          <c:invertIfNegative val="0"/>
          <c:dPt>
            <c:idx val="4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770-4295-B32B-66645922B93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'11.6 IYCF MAD'!$A$15:$A$18</c:f>
              <c:strCache>
                <c:ptCount val="4"/>
                <c:pt idx="0">
                  <c:v>No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More than secondary</c:v>
                </c:pt>
              </c:strCache>
            </c:strRef>
          </c:cat>
          <c:val>
            <c:numRef>
              <c:f>'11.6 IYCF MAD'!$B$15:$B$18</c:f>
              <c:numCache>
                <c:formatCode>General</c:formatCode>
                <c:ptCount val="4"/>
                <c:pt idx="0">
                  <c:v>11</c:v>
                </c:pt>
                <c:pt idx="1">
                  <c:v>27</c:v>
                </c:pt>
                <c:pt idx="2">
                  <c:v>31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70-4295-B32B-66645922B9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61384"/>
        <c:axId val="190261768"/>
      </c:barChart>
      <c:catAx>
        <c:axId val="190261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90261768"/>
        <c:crosses val="autoZero"/>
        <c:auto val="1"/>
        <c:lblAlgn val="ctr"/>
        <c:lblOffset val="100"/>
        <c:noMultiLvlLbl val="0"/>
      </c:catAx>
      <c:valAx>
        <c:axId val="190261768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1902613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</a:rPr>
              <a:t>Percentage of children age 6-23 months meeting feeding practice recommendations</a:t>
            </a:r>
          </a:p>
        </c:rich>
      </c:tx>
      <c:layout>
        <c:manualLayout>
          <c:xMode val="edge"/>
          <c:yMode val="edge"/>
          <c:x val="0.1206944444444444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7777777777777776E-2"/>
          <c:y val="0.25142778393750898"/>
          <c:w val="0.97222222222222221"/>
          <c:h val="0.55871034020508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DD0-403F-8617-D992A8DD4AC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'11.6 IYCF MAD'!$A$20:$A$25</c15:sqref>
                  </c15:fullRef>
                </c:ext>
              </c:extLst>
              <c:f>'11.6 IYCF MAD'!$A$21:$A$25</c:f>
              <c:strCache>
                <c:ptCount val="5"/>
                <c:pt idx="0">
                  <c:v>Lowest</c:v>
                </c:pt>
                <c:pt idx="1">
                  <c:v>Second</c:v>
                </c:pt>
                <c:pt idx="2">
                  <c:v>Middle</c:v>
                </c:pt>
                <c:pt idx="3">
                  <c:v>Fourth</c:v>
                </c:pt>
                <c:pt idx="4">
                  <c:v>Highest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'11.6 IYCF MAD'!$B$20:$B$25</c15:sqref>
                  </c15:fullRef>
                </c:ext>
              </c:extLst>
              <c:f>'11.6 IYCF MAD'!$B$21:$B$25</c:f>
              <c:numCache>
                <c:formatCode>General</c:formatCode>
                <c:ptCount val="5"/>
                <c:pt idx="0">
                  <c:v>14</c:v>
                </c:pt>
                <c:pt idx="1">
                  <c:v>23</c:v>
                </c:pt>
                <c:pt idx="2">
                  <c:v>29</c:v>
                </c:pt>
                <c:pt idx="3">
                  <c:v>37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0-403F-8617-D992A8DD4A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760"/>
        <c:axId val="190276152"/>
      </c:barChart>
      <c:catAx>
        <c:axId val="190275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crossAx val="190276152"/>
        <c:crosses val="autoZero"/>
        <c:auto val="1"/>
        <c:lblAlgn val="ctr"/>
        <c:lblOffset val="100"/>
        <c:noMultiLvlLbl val="0"/>
      </c:catAx>
      <c:valAx>
        <c:axId val="190276152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7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children age 6–23 months with unhealthy feeding practices</a:t>
            </a:r>
          </a:p>
        </c:rich>
      </c:tx>
      <c:layout>
        <c:manualLayout>
          <c:xMode val="edge"/>
          <c:yMode val="edge"/>
          <c:x val="0.13004770888014"/>
          <c:y val="3.086491521027825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0.15631257898318265"/>
          <c:w val="0.99652777777777779"/>
          <c:h val="0.58752799481145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'11.7 Unhealthy food kids'!$B$8</c:f>
              <c:strCache>
                <c:ptCount val="1"/>
                <c:pt idx="0">
                  <c:v>Breastfed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kids'!$A$9:$A$11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kids'!$B$9:$B$11</c:f>
              <c:numCache>
                <c:formatCode>General</c:formatCode>
                <c:ptCount val="3"/>
                <c:pt idx="0">
                  <c:v>45</c:v>
                </c:pt>
                <c:pt idx="1">
                  <c:v>24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9-494F-AAE7-030683497853}"/>
            </c:ext>
          </c:extLst>
        </c:ser>
        <c:ser>
          <c:idx val="1"/>
          <c:order val="1"/>
          <c:tx>
            <c:strRef>
              <c:f>'11.7 Unhealthy food kids'!$C$8</c:f>
              <c:strCache>
                <c:ptCount val="1"/>
                <c:pt idx="0">
                  <c:v>Nonbreastfed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kids'!$A$9:$A$11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kids'!$C$9:$C$11</c:f>
              <c:numCache>
                <c:formatCode>General</c:formatCode>
                <c:ptCount val="3"/>
                <c:pt idx="0">
                  <c:v>64</c:v>
                </c:pt>
                <c:pt idx="1">
                  <c:v>36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9-494F-AAE7-0306834978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368"/>
        <c:axId val="190274976"/>
      </c:barChart>
      <c:catAx>
        <c:axId val="190275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7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90274976"/>
        <c:crosses val="autoZero"/>
        <c:auto val="1"/>
        <c:lblAlgn val="ctr"/>
        <c:lblOffset val="100"/>
        <c:noMultiLvlLbl val="0"/>
      </c:catAx>
      <c:valAx>
        <c:axId val="190274976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8.4722222222222213E-2"/>
          <c:y val="0.16646433312337661"/>
          <c:w val="0.83576388888888886"/>
          <c:h val="7.9965733449985421E-2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children age 6–23 months</a:t>
            </a:r>
          </a:p>
        </c:rich>
      </c:tx>
      <c:layout>
        <c:manualLayout>
          <c:xMode val="edge"/>
          <c:yMode val="edge"/>
          <c:x val="0.21685326443569553"/>
          <c:y val="3.086419753086419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0.15631257898318265"/>
          <c:w val="0.99652777777777779"/>
          <c:h val="0.58752799481145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'11.7 Unhealthy food kids'!$A$22</c:f>
              <c:strCache>
                <c:ptCount val="1"/>
                <c:pt idx="0">
                  <c:v>Lowest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kids'!$B$21:$D$21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kids'!$B$22:$D$22</c:f>
              <c:numCache>
                <c:formatCode>General</c:formatCode>
                <c:ptCount val="3"/>
                <c:pt idx="0">
                  <c:v>42</c:v>
                </c:pt>
                <c:pt idx="1">
                  <c:v>15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3-4FE1-8675-692A144738B9}"/>
            </c:ext>
          </c:extLst>
        </c:ser>
        <c:ser>
          <c:idx val="1"/>
          <c:order val="1"/>
          <c:tx>
            <c:strRef>
              <c:f>'11.7 Unhealthy food kids'!$A$23</c:f>
              <c:strCache>
                <c:ptCount val="1"/>
                <c:pt idx="0">
                  <c:v>Second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kids'!$B$21:$D$21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kids'!$B$23:$D$23</c:f>
              <c:numCache>
                <c:formatCode>General</c:formatCode>
                <c:ptCount val="3"/>
                <c:pt idx="0">
                  <c:v>49</c:v>
                </c:pt>
                <c:pt idx="1">
                  <c:v>26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3-4FE1-8675-692A144738B9}"/>
            </c:ext>
          </c:extLst>
        </c:ser>
        <c:ser>
          <c:idx val="2"/>
          <c:order val="2"/>
          <c:tx>
            <c:strRef>
              <c:f>'11.7 Unhealthy food kids'!$A$24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kids'!$B$21:$D$21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kids'!$B$24:$D$24</c:f>
              <c:numCache>
                <c:formatCode>General</c:formatCode>
                <c:ptCount val="3"/>
                <c:pt idx="0">
                  <c:v>46</c:v>
                </c:pt>
                <c:pt idx="1">
                  <c:v>26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3-4FE1-8675-692A144738B9}"/>
            </c:ext>
          </c:extLst>
        </c:ser>
        <c:ser>
          <c:idx val="3"/>
          <c:order val="3"/>
          <c:tx>
            <c:strRef>
              <c:f>'11.7 Unhealthy food kids'!$A$25</c:f>
              <c:strCache>
                <c:ptCount val="1"/>
                <c:pt idx="0">
                  <c:v>Fourth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kids'!$B$21:$D$21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kids'!$B$25:$D$25</c:f>
              <c:numCache>
                <c:formatCode>General</c:formatCode>
                <c:ptCount val="3"/>
                <c:pt idx="0">
                  <c:v>56</c:v>
                </c:pt>
                <c:pt idx="1">
                  <c:v>34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F3-4FE1-8675-692A144738B9}"/>
            </c:ext>
          </c:extLst>
        </c:ser>
        <c:ser>
          <c:idx val="4"/>
          <c:order val="4"/>
          <c:tx>
            <c:strRef>
              <c:f>'11.7 Unhealthy food kids'!$A$26</c:f>
              <c:strCache>
                <c:ptCount val="1"/>
                <c:pt idx="0">
                  <c:v>Highest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kids'!$B$21:$D$21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kids'!$B$26:$D$26</c:f>
              <c:numCache>
                <c:formatCode>General</c:formatCode>
                <c:ptCount val="3"/>
                <c:pt idx="0">
                  <c:v>52</c:v>
                </c:pt>
                <c:pt idx="1">
                  <c:v>32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F3-4FE1-8675-692A144738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368"/>
        <c:axId val="190274976"/>
      </c:barChart>
      <c:catAx>
        <c:axId val="190275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7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90274976"/>
        <c:crosses val="autoZero"/>
        <c:auto val="1"/>
        <c:lblAlgn val="ctr"/>
        <c:lblOffset val="100"/>
        <c:noMultiLvlLbl val="0"/>
      </c:catAx>
      <c:valAx>
        <c:axId val="190274976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0486111111111108E-2"/>
          <c:y val="8.8580246913580241E-2"/>
          <c:w val="0.97951388888888891"/>
          <c:h val="0.16189766819688078"/>
        </c:manualLayout>
      </c:layout>
      <c:overlay val="0"/>
      <c:txPr>
        <a:bodyPr/>
        <a:lstStyle/>
        <a:p>
          <a:pPr>
            <a:defRPr sz="16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children age 6–23 months with unhealthy feeding practices</a:t>
            </a:r>
          </a:p>
        </c:rich>
      </c:tx>
      <c:layout>
        <c:manualLayout>
          <c:xMode val="edge"/>
          <c:yMode val="edge"/>
          <c:x val="0.10747826443569555"/>
          <c:y val="3.086388945409127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"/>
          <c:y val="0.15631257898318265"/>
          <c:w val="0.99652777777777779"/>
          <c:h val="0.58752799481145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'11.7 Unhealthy food kids'!$A$16</c:f>
              <c:strCache>
                <c:ptCount val="1"/>
                <c:pt idx="0">
                  <c:v>No education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kids'!$B$15:$D$15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kids'!$B$16:$D$16</c:f>
              <c:numCache>
                <c:formatCode>General</c:formatCode>
                <c:ptCount val="3"/>
                <c:pt idx="0">
                  <c:v>35</c:v>
                </c:pt>
                <c:pt idx="1">
                  <c:v>8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1-4ACF-8B4E-C4B54E21C326}"/>
            </c:ext>
          </c:extLst>
        </c:ser>
        <c:ser>
          <c:idx val="1"/>
          <c:order val="1"/>
          <c:tx>
            <c:strRef>
              <c:f>'11.7 Unhealthy food kids'!$A$17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kids'!$B$15:$D$15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kids'!$B$17:$D$17</c:f>
              <c:numCache>
                <c:formatCode>General</c:formatCode>
                <c:ptCount val="3"/>
                <c:pt idx="0">
                  <c:v>52</c:v>
                </c:pt>
                <c:pt idx="1">
                  <c:v>28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1-4ACF-8B4E-C4B54E21C326}"/>
            </c:ext>
          </c:extLst>
        </c:ser>
        <c:ser>
          <c:idx val="2"/>
          <c:order val="2"/>
          <c:tx>
            <c:strRef>
              <c:f>'11.7 Unhealthy food kids'!$A$18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kids'!$B$15:$D$15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kids'!$B$18:$D$18</c:f>
              <c:numCache>
                <c:formatCode>General</c:formatCode>
                <c:ptCount val="3"/>
                <c:pt idx="0">
                  <c:v>33</c:v>
                </c:pt>
                <c:pt idx="1">
                  <c:v>29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1-4ACF-8B4E-C4B54E21C326}"/>
            </c:ext>
          </c:extLst>
        </c:ser>
        <c:ser>
          <c:idx val="3"/>
          <c:order val="3"/>
          <c:tx>
            <c:strRef>
              <c:f>'11.7 Unhealthy food kids'!$A$19</c:f>
              <c:strCache>
                <c:ptCount val="1"/>
                <c:pt idx="0">
                  <c:v>More than secondary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kids'!$B$15:$D$15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Consumed zero vegetables or fruits the day before the survey</c:v>
                </c:pt>
              </c:strCache>
            </c:strRef>
          </c:cat>
          <c:val>
            <c:numRef>
              <c:f>'11.7 Unhealthy food kids'!$B$19:$D$19</c:f>
              <c:numCache>
                <c:formatCode>General</c:formatCode>
                <c:ptCount val="3"/>
                <c:pt idx="0">
                  <c:v>37</c:v>
                </c:pt>
                <c:pt idx="1">
                  <c:v>27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C1-4ACF-8B4E-C4B54E21C3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368"/>
        <c:axId val="190274976"/>
      </c:barChart>
      <c:catAx>
        <c:axId val="190275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7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90274976"/>
        <c:crosses val="autoZero"/>
        <c:auto val="1"/>
        <c:lblAlgn val="ctr"/>
        <c:lblOffset val="100"/>
        <c:noMultiLvlLbl val="0"/>
      </c:catAx>
      <c:valAx>
        <c:axId val="190274976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0486111111111108E-2"/>
          <c:y val="8.8580246913580241E-2"/>
          <c:w val="0.97951388888888891"/>
          <c:h val="0.16189766819688078"/>
        </c:manualLayout>
      </c:layout>
      <c:overlay val="0"/>
      <c:txPr>
        <a:bodyPr/>
        <a:lstStyle/>
        <a:p>
          <a:pPr>
            <a:defRPr sz="16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sz="1800" b="0" i="1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Percentage of children age 6–23 months</a:t>
            </a:r>
            <a:endParaRPr lang="en-US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57029199475065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17607174103234E-3"/>
          <c:y val="7.0083486139575032E-2"/>
          <c:w val="0.99189823928258969"/>
          <c:h val="0.811292273397332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'11.7 Unhealthy food kids'!$A$30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9B2-44E9-A71E-BE36406261D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B2-44E9-A71E-BE36406261D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9B2-44E9-A71E-BE36406261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'11.7 Unhealthy food kids'!$B$29:$D$29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Comsuned zero vegetables or fruits the day before the survey</c:v>
                </c:pt>
              </c:strCache>
            </c:strRef>
          </c:cat>
          <c:val>
            <c:numRef>
              <c:f>'11.7 Unhealthy food kids'!$B$30:$D$30</c:f>
              <c:numCache>
                <c:formatCode>General</c:formatCode>
                <c:ptCount val="3"/>
                <c:pt idx="0">
                  <c:v>49</c:v>
                </c:pt>
                <c:pt idx="1">
                  <c:v>26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B2-44E9-A71E-BE36406261DE}"/>
            </c:ext>
          </c:extLst>
        </c:ser>
        <c:ser>
          <c:idx val="1"/>
          <c:order val="1"/>
          <c:tx>
            <c:strRef>
              <c:f>'11.7 Unhealthy food kids'!$A$31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kids'!$B$29:$D$29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Comsuned zero vegetables or fruits the day before the survey</c:v>
                </c:pt>
              </c:strCache>
            </c:strRef>
          </c:cat>
          <c:val>
            <c:numRef>
              <c:f>'11.7 Unhealthy food kids'!$B$31:$D$31</c:f>
              <c:numCache>
                <c:formatCode>General</c:formatCode>
                <c:ptCount val="3"/>
                <c:pt idx="0">
                  <c:v>52</c:v>
                </c:pt>
                <c:pt idx="1">
                  <c:v>31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B2-44E9-A71E-BE36406261DE}"/>
            </c:ext>
          </c:extLst>
        </c:ser>
        <c:ser>
          <c:idx val="2"/>
          <c:order val="2"/>
          <c:tx>
            <c:strRef>
              <c:f>'11.7 Unhealthy food kids'!$A$32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'11.7 Unhealthy food kids'!$B$29:$D$29</c:f>
              <c:strCache>
                <c:ptCount val="3"/>
                <c:pt idx="0">
                  <c:v>Consumed sweet beverages the day before the survey</c:v>
                </c:pt>
                <c:pt idx="1">
                  <c:v>Consumed unhealthy foods the day before the survey</c:v>
                </c:pt>
                <c:pt idx="2">
                  <c:v>Comsuned zero vegetables or fruits the day before the survey</c:v>
                </c:pt>
              </c:strCache>
            </c:strRef>
          </c:cat>
          <c:val>
            <c:numRef>
              <c:f>'11.7 Unhealthy food kids'!$B$32:$D$32</c:f>
              <c:numCache>
                <c:formatCode>General</c:formatCode>
                <c:ptCount val="3"/>
                <c:pt idx="0">
                  <c:v>48</c:v>
                </c:pt>
                <c:pt idx="1">
                  <c:v>24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B2-44E9-A71E-BE36406261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64291536"/>
        <c:axId val="164291144"/>
      </c:barChart>
      <c:catAx>
        <c:axId val="164291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91144"/>
        <c:crosses val="autoZero"/>
        <c:auto val="1"/>
        <c:lblAlgn val="ctr"/>
        <c:lblOffset val="100"/>
        <c:noMultiLvlLbl val="0"/>
      </c:catAx>
      <c:valAx>
        <c:axId val="164291144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4291536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children age 6–59 months classified</a:t>
            </a:r>
            <a:r>
              <a:rPr lang="en-US" b="0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as anemic</a:t>
            </a:r>
            <a:endParaRPr lang="en-US" b="0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22471019247594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25925925925904E-3"/>
          <c:y val="6.9021094585399054E-2"/>
          <c:w val="0.78379629629629644"/>
          <c:h val="0.750195117119794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'11.8 Childrens Anemia trends'!$B$9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'11.8 Childrens Anemia trends'!$C$8:$E$8</c:f>
              <c:strCache>
                <c:ptCount val="3"/>
                <c:pt idx="0">
                  <c:v>2005–06
xDHS</c:v>
                </c:pt>
                <c:pt idx="1">
                  <c:v>2010–11
xDHS</c:v>
                </c:pt>
                <c:pt idx="2">
                  <c:v>2014
xDHS</c:v>
                </c:pt>
              </c:strCache>
            </c:strRef>
          </c:cat>
          <c:val>
            <c:numRef>
              <c:f>'11.8 Childrens Anemia trends'!$C$9:$E$9</c:f>
              <c:numCache>
                <c:formatCode>General</c:formatCode>
                <c:ptCount val="3"/>
                <c:pt idx="0">
                  <c:v>28</c:v>
                </c:pt>
                <c:pt idx="1">
                  <c:v>27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F-4CEB-B082-8205D7AA4530}"/>
            </c:ext>
          </c:extLst>
        </c:ser>
        <c:ser>
          <c:idx val="1"/>
          <c:order val="1"/>
          <c:tx>
            <c:strRef>
              <c:f>'11.8 Childrens Anemia trends'!$B$10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'11.8 Childrens Anemia trends'!$C$8:$E$8</c:f>
              <c:strCache>
                <c:ptCount val="3"/>
                <c:pt idx="0">
                  <c:v>2005–06
xDHS</c:v>
                </c:pt>
                <c:pt idx="1">
                  <c:v>2010–11
xDHS</c:v>
                </c:pt>
                <c:pt idx="2">
                  <c:v>2014
xDHS</c:v>
                </c:pt>
              </c:strCache>
            </c:strRef>
          </c:cat>
          <c:val>
            <c:numRef>
              <c:f>'11.8 Childrens Anemia trends'!$C$10:$E$10</c:f>
              <c:numCache>
                <c:formatCode>General</c:formatCode>
                <c:ptCount val="3"/>
                <c:pt idx="0">
                  <c:v>30</c:v>
                </c:pt>
                <c:pt idx="1">
                  <c:v>29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F-4CEB-B082-8205D7AA4530}"/>
            </c:ext>
          </c:extLst>
        </c:ser>
        <c:ser>
          <c:idx val="2"/>
          <c:order val="2"/>
          <c:tx>
            <c:strRef>
              <c:f>'11.8 Childrens Anemia trends'!$B$11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dLbl>
              <c:idx val="0"/>
              <c:layout>
                <c:manualLayout>
                  <c:x val="9.9537037037037035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7F-4CEB-B082-8205D7AA4530}"/>
                </c:ext>
              </c:extLst>
            </c:dLbl>
            <c:dLbl>
              <c:idx val="1"/>
              <c:layout>
                <c:manualLayout>
                  <c:x val="0.10416666666666667"/>
                  <c:y val="-2.4691358024691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7F-4CEB-B082-8205D7AA4530}"/>
                </c:ext>
              </c:extLst>
            </c:dLbl>
            <c:dLbl>
              <c:idx val="2"/>
              <c:layout>
                <c:manualLayout>
                  <c:x val="0.10416666666666659"/>
                  <c:y val="-2.4691358024691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7F-4CEB-B082-8205D7AA45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'11.8 Childrens Anemia trends'!$C$8:$E$8</c:f>
              <c:strCache>
                <c:ptCount val="3"/>
                <c:pt idx="0">
                  <c:v>2005–06
xDHS</c:v>
                </c:pt>
                <c:pt idx="1">
                  <c:v>2010–11
xDHS</c:v>
                </c:pt>
                <c:pt idx="2">
                  <c:v>2014
xDHS</c:v>
                </c:pt>
              </c:strCache>
            </c:strRef>
          </c:cat>
          <c:val>
            <c:numRef>
              <c:f>'11.8 Childrens Anemia trends'!$C$11:$E$11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7F-4CEB-B082-8205D7AA4530}"/>
            </c:ext>
          </c:extLst>
        </c:ser>
        <c:ser>
          <c:idx val="3"/>
          <c:order val="3"/>
          <c:tx>
            <c:strRef>
              <c:f>'11.8 Childrens Anemia trends'!$B$12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91440" rIns="38100" bIns="18288" anchor="ctr">
                <a:spAutoFit/>
              </a:bodyPr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'11.8 Childrens Anemia trends'!$C$8:$E$8</c:f>
              <c:strCache>
                <c:ptCount val="3"/>
                <c:pt idx="0">
                  <c:v>2005–06
xDHS</c:v>
                </c:pt>
                <c:pt idx="1">
                  <c:v>2010–11
xDHS</c:v>
                </c:pt>
                <c:pt idx="2">
                  <c:v>2014
xDHS</c:v>
                </c:pt>
              </c:strCache>
            </c:strRef>
          </c:cat>
          <c:val>
            <c:numRef>
              <c:f>'11.8 Childrens Anemia trends'!$C$12:$E$12</c:f>
              <c:numCache>
                <c:formatCode>General</c:formatCode>
                <c:ptCount val="3"/>
                <c:pt idx="0">
                  <c:v>59</c:v>
                </c:pt>
                <c:pt idx="1">
                  <c:v>57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7F-4CEB-B082-8205D7AA45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90276936"/>
        <c:axId val="188267704"/>
      </c:barChart>
      <c:catAx>
        <c:axId val="190276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88267704"/>
        <c:crosses val="autoZero"/>
        <c:auto val="1"/>
        <c:lblAlgn val="ctr"/>
        <c:lblOffset val="100"/>
        <c:noMultiLvlLbl val="0"/>
      </c:catAx>
      <c:valAx>
        <c:axId val="188267704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69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 distribution of women and men age 15–19 and 20-49 by nutritional status</a:t>
            </a:r>
          </a:p>
        </c:rich>
      </c:tx>
      <c:layout>
        <c:manualLayout>
          <c:xMode val="edge"/>
          <c:yMode val="edge"/>
          <c:x val="9.7042732939632545E-2"/>
          <c:y val="1.28700128700128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25925925925904E-3"/>
          <c:y val="0.27006318153529779"/>
          <c:w val="0.68425925925925934"/>
          <c:h val="0.6254536804033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'11.10 Adol and adult nutrition'!$A$9</c:f>
              <c:strCache>
                <c:ptCount val="1"/>
                <c:pt idx="0">
                  <c:v>Thin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'11.10 Adol and adult nutrition'!$B$8:$F$8</c:f>
              <c:strCache>
                <c:ptCount val="5"/>
                <c:pt idx="0">
                  <c:v>Women</c:v>
                </c:pt>
                <c:pt idx="1">
                  <c:v>Men</c:v>
                </c:pt>
                <c:pt idx="3">
                  <c:v>Women</c:v>
                </c:pt>
                <c:pt idx="4">
                  <c:v>Men</c:v>
                </c:pt>
              </c:strCache>
            </c:strRef>
          </c:cat>
          <c:val>
            <c:numRef>
              <c:f>'11.10 Adol and adult nutrition'!$B$9:$F$9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3">
                  <c:v>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C-4CFA-8E0B-B05FEBFB545A}"/>
            </c:ext>
          </c:extLst>
        </c:ser>
        <c:ser>
          <c:idx val="1"/>
          <c:order val="1"/>
          <c:tx>
            <c:strRef>
              <c:f>'11.10 Adol and adult nutrition'!$A$10</c:f>
              <c:strCache>
                <c:ptCount val="1"/>
                <c:pt idx="0">
                  <c:v>Normal weight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'11.10 Adol and adult nutrition'!$B$8:$F$8</c:f>
              <c:strCache>
                <c:ptCount val="5"/>
                <c:pt idx="0">
                  <c:v>Women</c:v>
                </c:pt>
                <c:pt idx="1">
                  <c:v>Men</c:v>
                </c:pt>
                <c:pt idx="3">
                  <c:v>Women</c:v>
                </c:pt>
                <c:pt idx="4">
                  <c:v>Men</c:v>
                </c:pt>
              </c:strCache>
            </c:strRef>
          </c:cat>
          <c:val>
            <c:numRef>
              <c:f>'11.10 Adol and adult nutrition'!$B$10:$F$10</c:f>
              <c:numCache>
                <c:formatCode>General</c:formatCode>
                <c:ptCount val="5"/>
                <c:pt idx="0">
                  <c:v>51</c:v>
                </c:pt>
                <c:pt idx="1">
                  <c:v>70</c:v>
                </c:pt>
                <c:pt idx="3">
                  <c:v>51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C-4CFA-8E0B-B05FEBFB545A}"/>
            </c:ext>
          </c:extLst>
        </c:ser>
        <c:ser>
          <c:idx val="2"/>
          <c:order val="2"/>
          <c:tx>
            <c:strRef>
              <c:f>'11.10 Adol and adult nutrition'!$A$11</c:f>
              <c:strCache>
                <c:ptCount val="1"/>
                <c:pt idx="0">
                  <c:v>Overweight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'11.10 Adol and adult nutrition'!$B$8:$F$8</c:f>
              <c:strCache>
                <c:ptCount val="5"/>
                <c:pt idx="0">
                  <c:v>Women</c:v>
                </c:pt>
                <c:pt idx="1">
                  <c:v>Men</c:v>
                </c:pt>
                <c:pt idx="3">
                  <c:v>Women</c:v>
                </c:pt>
                <c:pt idx="4">
                  <c:v>Men</c:v>
                </c:pt>
              </c:strCache>
            </c:strRef>
          </c:cat>
          <c:val>
            <c:numRef>
              <c:f>'11.10 Adol and adult nutrition'!$B$11:$F$11</c:f>
              <c:numCache>
                <c:formatCode>General</c:formatCode>
                <c:ptCount val="5"/>
                <c:pt idx="0">
                  <c:v>25</c:v>
                </c:pt>
                <c:pt idx="1">
                  <c:v>9</c:v>
                </c:pt>
                <c:pt idx="3">
                  <c:v>25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C-4CFA-8E0B-B05FEBFB545A}"/>
            </c:ext>
          </c:extLst>
        </c:ser>
        <c:ser>
          <c:idx val="3"/>
          <c:order val="3"/>
          <c:tx>
            <c:strRef>
              <c:f>'11.10 Adol and adult nutrition'!$A$12</c:f>
              <c:strCache>
                <c:ptCount val="1"/>
                <c:pt idx="0">
                  <c:v>Obese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800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64C-4CFA-8E0B-B05FEBFB545A}"/>
                </c:ext>
              </c:extLst>
            </c:dLbl>
            <c:dLbl>
              <c:idx val="1"/>
              <c:layout>
                <c:manualLayout>
                  <c:x val="6.3078658136482946E-2"/>
                  <c:y val="3.931940939814955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4C-4CFA-8E0B-B05FEBFB54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'11.10 Adol and adult nutrition'!$B$8:$F$8</c:f>
              <c:strCache>
                <c:ptCount val="5"/>
                <c:pt idx="0">
                  <c:v>Women</c:v>
                </c:pt>
                <c:pt idx="1">
                  <c:v>Men</c:v>
                </c:pt>
                <c:pt idx="3">
                  <c:v>Women</c:v>
                </c:pt>
                <c:pt idx="4">
                  <c:v>Men</c:v>
                </c:pt>
              </c:strCache>
            </c:strRef>
          </c:cat>
          <c:val>
            <c:numRef>
              <c:f>'11.10 Adol and adult nutrition'!$B$12:$F$12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3">
                  <c:v>20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C-4CFA-8E0B-B05FEBFB5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81125120"/>
        <c:axId val="381125512"/>
      </c:barChart>
      <c:catAx>
        <c:axId val="381125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1125512"/>
        <c:crosses val="autoZero"/>
        <c:auto val="1"/>
        <c:lblAlgn val="ctr"/>
        <c:lblOffset val="100"/>
        <c:noMultiLvlLbl val="0"/>
      </c:catAx>
      <c:valAx>
        <c:axId val="381125512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38112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097422717993571"/>
          <c:y val="0.34068581705064643"/>
          <c:w val="0.3220813283756197"/>
          <c:h val="0.31986293379994168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</a:t>
            </a:r>
            <a:r>
              <a:rPr lang="en-US" sz="1800" b="0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</a:t>
            </a:r>
            <a:r>
              <a:rPr lang="en-US" sz="1800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women age 20–49 who are: </a:t>
            </a:r>
          </a:p>
        </c:rich>
      </c:tx>
      <c:layout>
        <c:manualLayout>
          <c:xMode val="edge"/>
          <c:yMode val="edge"/>
          <c:x val="0.1907870370370370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296296296296294E-3"/>
          <c:y val="0.10826674443472344"/>
          <c:w val="0.98842592592592593"/>
          <c:h val="0.6848631276581757"/>
        </c:manualLayout>
      </c:layout>
      <c:lineChart>
        <c:grouping val="standard"/>
        <c:varyColors val="0"/>
        <c:ser>
          <c:idx val="0"/>
          <c:order val="0"/>
          <c:tx>
            <c:strRef>
              <c:f>'11.11 Trends in adult nutrition'!$A$9</c:f>
              <c:strCache>
                <c:ptCount val="1"/>
                <c:pt idx="0">
                  <c:v>Thin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64-4661-B4ED-A855A2C1BC68}"/>
                </c:ext>
              </c:extLst>
            </c:dLbl>
            <c:dLbl>
              <c:idx val="1"/>
              <c:layout>
                <c:manualLayout>
                  <c:x val="-1.6203703703703703E-2"/>
                  <c:y val="-4.1309183349221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64-4661-B4ED-A855A2C1BC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'11.11 Trends in adult nutrition'!$B$8:$G$8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'11.11 Trends in adult nutrition'!$B$9:$G$9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4-4661-B4ED-A855A2C1BC68}"/>
            </c:ext>
          </c:extLst>
        </c:ser>
        <c:ser>
          <c:idx val="1"/>
          <c:order val="1"/>
          <c:tx>
            <c:strRef>
              <c:f>'11.11 Trends in adult nutrition'!$A$10</c:f>
              <c:strCache>
                <c:ptCount val="1"/>
                <c:pt idx="0">
                  <c:v>Overweight/obesity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64-4661-B4ED-A855A2C1BC68}"/>
                </c:ext>
              </c:extLst>
            </c:dLbl>
            <c:dLbl>
              <c:idx val="1"/>
              <c:layout>
                <c:manualLayout>
                  <c:x val="-3.0092592592592591E-2"/>
                  <c:y val="3.8131553860819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64-4661-B4ED-A855A2C1BC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'11.11 Trends in adult nutrition'!$B$8:$G$8</c:f>
              <c:strCache>
                <c:ptCount val="6"/>
                <c:pt idx="0">
                  <c:v>1993
KDHS</c:v>
                </c:pt>
                <c:pt idx="1">
                  <c:v>1998
KDHS</c:v>
                </c:pt>
                <c:pt idx="2">
                  <c:v>2003
KDHS</c:v>
                </c:pt>
                <c:pt idx="3">
                  <c:v>2008-09
KDHS</c:v>
                </c:pt>
                <c:pt idx="4">
                  <c:v>2014
KDHS</c:v>
                </c:pt>
                <c:pt idx="5">
                  <c:v>2022
KDHS</c:v>
                </c:pt>
              </c:strCache>
            </c:strRef>
          </c:cat>
          <c:val>
            <c:numRef>
              <c:f>'11.11 Trends in adult nutrition'!$B$10:$G$10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23</c:v>
                </c:pt>
                <c:pt idx="3">
                  <c:v>25</c:v>
                </c:pt>
                <c:pt idx="4">
                  <c:v>33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64-4661-B4ED-A855A2C1BC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81126296"/>
        <c:axId val="381126688"/>
      </c:lineChart>
      <c:catAx>
        <c:axId val="381126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1126688"/>
        <c:crosses val="autoZero"/>
        <c:auto val="1"/>
        <c:lblAlgn val="ctr"/>
        <c:lblOffset val="100"/>
        <c:noMultiLvlLbl val="0"/>
      </c:catAx>
      <c:valAx>
        <c:axId val="381126688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3811262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</a:t>
            </a:r>
            <a:r>
              <a:rPr lang="en-US" b="0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women age 20</a:t>
            </a:r>
            <a:r>
              <a:rPr lang="en-US" sz="1800" b="0" i="1" u="none" strike="noStrike" baseline="0">
                <a:effectLst/>
              </a:rPr>
              <a:t>–</a:t>
            </a:r>
            <a:r>
              <a:rPr lang="en-US" b="0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49 who are:</a:t>
            </a:r>
            <a:endParaRPr lang="en-US" b="0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907870370370370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25925925925904E-3"/>
          <c:y val="0.1798055798580733"/>
          <c:w val="0.99097222222222225"/>
          <c:h val="0.71996792067658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'11.11 Trends in adult nutrition'!$B$12</c:f>
              <c:strCache>
                <c:ptCount val="1"/>
                <c:pt idx="0">
                  <c:v>1993
KDHS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'11.11 Trends in adult nutrition'!$A$13:$A$14</c:f>
              <c:strCache>
                <c:ptCount val="2"/>
                <c:pt idx="0">
                  <c:v>Thin</c:v>
                </c:pt>
                <c:pt idx="1">
                  <c:v>Overweight/obesity</c:v>
                </c:pt>
              </c:strCache>
            </c:strRef>
          </c:cat>
          <c:val>
            <c:numRef>
              <c:f>'11.11 Trends in adult nutrition'!$B$13:$B$14</c:f>
              <c:numCache>
                <c:formatCode>General</c:formatCode>
                <c:ptCount val="2"/>
                <c:pt idx="0">
                  <c:v>10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1-4088-9074-85D1252A9F2A}"/>
            </c:ext>
          </c:extLst>
        </c:ser>
        <c:ser>
          <c:idx val="1"/>
          <c:order val="1"/>
          <c:tx>
            <c:strRef>
              <c:f>'11.11 Trends in adult nutrition'!$C$12</c:f>
              <c:strCache>
                <c:ptCount val="1"/>
                <c:pt idx="0">
                  <c:v>1998
KDHS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'11.11 Trends in adult nutrition'!$A$13:$A$14</c:f>
              <c:strCache>
                <c:ptCount val="2"/>
                <c:pt idx="0">
                  <c:v>Thin</c:v>
                </c:pt>
                <c:pt idx="1">
                  <c:v>Overweight/obesity</c:v>
                </c:pt>
              </c:strCache>
            </c:strRef>
          </c:cat>
          <c:val>
            <c:numRef>
              <c:f>'11.11 Trends in adult nutrition'!$C$13:$C$14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1-4088-9074-85D1252A9F2A}"/>
            </c:ext>
          </c:extLst>
        </c:ser>
        <c:ser>
          <c:idx val="2"/>
          <c:order val="2"/>
          <c:tx>
            <c:strRef>
              <c:f>'11.11 Trends in adult nutrition'!$D$12</c:f>
              <c:strCache>
                <c:ptCount val="1"/>
                <c:pt idx="0">
                  <c:v>2003
KDHS</c:v>
                </c:pt>
              </c:strCache>
            </c:strRef>
          </c:tx>
          <c:invertIfNegative val="0"/>
          <c:dLbls>
            <c:dLbl>
              <c:idx val="0"/>
              <c:tx>
                <c:rich>
                  <a:bodyPr/>
                  <a:lstStyle/>
                  <a:p>
                    <a:fld id="{58430896-9AB1-4351-A86D-F68A986ACA26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CB6-48D3-8829-D976985A99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E9D2AB1-3EC1-42EC-A011-1346D74ACC8B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5CB6-48D3-8829-D976985A99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'11.11 Trends in adult nutrition'!$A$13:$A$14</c:f>
              <c:strCache>
                <c:ptCount val="2"/>
                <c:pt idx="0">
                  <c:v>Thin</c:v>
                </c:pt>
                <c:pt idx="1">
                  <c:v>Overweight/obesity</c:v>
                </c:pt>
              </c:strCache>
            </c:strRef>
          </c:cat>
          <c:val>
            <c:numRef>
              <c:f>'11.11 Trends in adult nutrition'!$D$13:$D$14</c:f>
              <c:numCache>
                <c:formatCode>General</c:formatCode>
                <c:ptCount val="2"/>
                <c:pt idx="0">
                  <c:v>12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6-48D3-8829-D976985A99F0}"/>
            </c:ext>
          </c:extLst>
        </c:ser>
        <c:ser>
          <c:idx val="3"/>
          <c:order val="3"/>
          <c:tx>
            <c:strRef>
              <c:f>'11.11 Trends in adult nutrition'!$E$12</c:f>
              <c:strCache>
                <c:ptCount val="1"/>
                <c:pt idx="0">
                  <c:v>2008-09
KDHS</c:v>
                </c:pt>
              </c:strCache>
            </c:strRef>
          </c:tx>
          <c:invertIfNegative val="0"/>
          <c:dLbls>
            <c:dLbl>
              <c:idx val="0"/>
              <c:tx>
                <c:rich>
                  <a:bodyPr/>
                  <a:lstStyle/>
                  <a:p>
                    <a:fld id="{365D74AC-F03D-4FB6-8B6A-232D7086410A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CB6-48D3-8829-D976985A99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85BBC5-7745-4509-A0C6-0A500DC61DF8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CB6-48D3-8829-D976985A99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'11.11 Trends in adult nutrition'!$A$13:$A$14</c:f>
              <c:strCache>
                <c:ptCount val="2"/>
                <c:pt idx="0">
                  <c:v>Thin</c:v>
                </c:pt>
                <c:pt idx="1">
                  <c:v>Overweight/obesity</c:v>
                </c:pt>
              </c:strCache>
            </c:strRef>
          </c:cat>
          <c:val>
            <c:numRef>
              <c:f>'11.11 Trends in adult nutrition'!$E$13:$E$14</c:f>
              <c:numCache>
                <c:formatCode>General</c:formatCode>
                <c:ptCount val="2"/>
                <c:pt idx="0">
                  <c:v>12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6-48D3-8829-D976985A99F0}"/>
            </c:ext>
          </c:extLst>
        </c:ser>
        <c:ser>
          <c:idx val="4"/>
          <c:order val="4"/>
          <c:tx>
            <c:strRef>
              <c:f>'11.11 Trends in adult nutrition'!$F$12</c:f>
              <c:strCache>
                <c:ptCount val="1"/>
                <c:pt idx="0">
                  <c:v>2014
KDHS</c:v>
                </c:pt>
              </c:strCache>
            </c:strRef>
          </c:tx>
          <c:invertIfNegative val="0"/>
          <c:dLbls>
            <c:dLbl>
              <c:idx val="0"/>
              <c:tx>
                <c:rich>
                  <a:bodyPr/>
                  <a:lstStyle/>
                  <a:p>
                    <a:fld id="{68F3DE53-369C-4999-850F-290C84C3E8DA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CB6-48D3-8829-D976985A99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59A2C5-DE17-40F1-8D56-E22548ACBB74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5CB6-48D3-8829-D976985A99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'11.11 Trends in adult nutrition'!$A$13:$A$14</c:f>
              <c:strCache>
                <c:ptCount val="2"/>
                <c:pt idx="0">
                  <c:v>Thin</c:v>
                </c:pt>
                <c:pt idx="1">
                  <c:v>Overweight/obesity</c:v>
                </c:pt>
              </c:strCache>
            </c:strRef>
          </c:cat>
          <c:val>
            <c:numRef>
              <c:f>'11.11 Trends in adult nutrition'!$F$13:$F$14</c:f>
              <c:numCache>
                <c:formatCode>General</c:formatCode>
                <c:ptCount val="2"/>
                <c:pt idx="0">
                  <c:v>9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B6-48D3-8829-D976985A99F0}"/>
            </c:ext>
          </c:extLst>
        </c:ser>
        <c:ser>
          <c:idx val="5"/>
          <c:order val="5"/>
          <c:tx>
            <c:strRef>
              <c:f>'11.11 Trends in adult nutrition'!$G$12</c:f>
              <c:strCache>
                <c:ptCount val="1"/>
                <c:pt idx="0">
                  <c:v>2022
KDHS</c:v>
                </c:pt>
              </c:strCache>
            </c:strRef>
          </c:tx>
          <c:invertIfNegative val="0"/>
          <c:dLbls>
            <c:dLbl>
              <c:idx val="0"/>
              <c:tx>
                <c:rich>
                  <a:bodyPr/>
                  <a:lstStyle/>
                  <a:p>
                    <a:fld id="{09E29A57-41DE-45E7-BCB5-5EF48930C541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CB6-48D3-8829-D976985A99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EB9841-72D7-42E5-AA83-60203F84F1FC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CB6-48D3-8829-D976985A99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'11.11 Trends in adult nutrition'!$A$13:$A$14</c:f>
              <c:strCache>
                <c:ptCount val="2"/>
                <c:pt idx="0">
                  <c:v>Thin</c:v>
                </c:pt>
                <c:pt idx="1">
                  <c:v>Overweight/obesity</c:v>
                </c:pt>
              </c:strCache>
            </c:strRef>
          </c:cat>
          <c:val>
            <c:numRef>
              <c:f>'11.11 Trends in adult nutrition'!$G$13:$G$14</c:f>
              <c:numCache>
                <c:formatCode>General</c:formatCode>
                <c:ptCount val="2"/>
                <c:pt idx="0">
                  <c:v>7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B6-48D3-8829-D976985A99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axId val="381127472"/>
        <c:axId val="381127864"/>
      </c:barChart>
      <c:catAx>
        <c:axId val="381127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1127864"/>
        <c:crosses val="autoZero"/>
        <c:auto val="1"/>
        <c:lblAlgn val="ctr"/>
        <c:lblOffset val="100"/>
        <c:noMultiLvlLbl val="0"/>
      </c:catAx>
      <c:valAx>
        <c:axId val="381127864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38112747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2178022018081074"/>
          <c:y val="9.7839506172839527E-2"/>
          <c:w val="0.87821976307015681"/>
          <c:h val="0.11854539527966508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Percentage of women age 15</a:t>
            </a:r>
            <a:r>
              <a:rPr lang="en-US" sz="1800" b="0" i="1" u="none" strike="noStrike" baseline="0">
                <a:effectLst/>
              </a:rPr>
              <a:t>–</a:t>
            </a:r>
            <a:r>
              <a:rPr lang="en-US" b="0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49 classified as anemic </a:t>
            </a:r>
          </a:p>
        </c:rich>
      </c:tx>
      <c:layout>
        <c:manualLayout>
          <c:xMode val="edge"/>
          <c:yMode val="edge"/>
          <c:x val="0.18731481481481482"/>
          <c:y val="1.250607562943521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222222222222224E-3"/>
          <c:y val="7.1657188684747755E-2"/>
          <c:w val="0.79305573782443861"/>
          <c:h val="0.732780666567622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'11.12 Anemia in women'!$B$8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'11.12 Anemia in women'!$C$7:$E$7</c:f>
              <c:strCache>
                <c:ptCount val="3"/>
                <c:pt idx="0">
                  <c:v>Pregnant women</c:v>
                </c:pt>
                <c:pt idx="1">
                  <c:v>Non-pregnant women</c:v>
                </c:pt>
                <c:pt idx="2">
                  <c:v>Total</c:v>
                </c:pt>
              </c:strCache>
            </c:strRef>
          </c:cat>
          <c:val>
            <c:numRef>
              <c:f>'11.12 Anemia in women'!$C$8:$E$8</c:f>
              <c:numCache>
                <c:formatCode>General</c:formatCode>
                <c:ptCount val="3"/>
                <c:pt idx="0">
                  <c:v>27</c:v>
                </c:pt>
                <c:pt idx="1">
                  <c:v>20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A-42B3-8327-0FE85802F05E}"/>
            </c:ext>
          </c:extLst>
        </c:ser>
        <c:ser>
          <c:idx val="1"/>
          <c:order val="1"/>
          <c:tx>
            <c:strRef>
              <c:f>'11.12 Anemia in women'!$B$9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'11.12 Anemia in women'!$C$7:$E$7</c:f>
              <c:strCache>
                <c:ptCount val="3"/>
                <c:pt idx="0">
                  <c:v>Pregnant women</c:v>
                </c:pt>
                <c:pt idx="1">
                  <c:v>Non-pregnant women</c:v>
                </c:pt>
                <c:pt idx="2">
                  <c:v>Total</c:v>
                </c:pt>
              </c:strCache>
            </c:strRef>
          </c:cat>
          <c:val>
            <c:numRef>
              <c:f>'11.12 Anemia in women'!$C$9:$E$9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A-42B3-8327-0FE85802F05E}"/>
            </c:ext>
          </c:extLst>
        </c:ser>
        <c:ser>
          <c:idx val="2"/>
          <c:order val="2"/>
          <c:tx>
            <c:strRef>
              <c:f>'11.12 Anemia in women'!$B$10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dLbl>
              <c:idx val="0"/>
              <c:layout>
                <c:manualLayout>
                  <c:x val="0.14351851851851849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8A-42B3-8327-0FE85802F05E}"/>
                </c:ext>
              </c:extLst>
            </c:dLbl>
            <c:dLbl>
              <c:idx val="1"/>
              <c:layout>
                <c:manualLayout>
                  <c:x val="0.14351851851851843"/>
                  <c:y val="-2.1604938271604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8A-42B3-8327-0FE85802F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'11.12 Anemia in women'!$C$7:$E$7</c:f>
              <c:strCache>
                <c:ptCount val="3"/>
                <c:pt idx="0">
                  <c:v>Pregnant women</c:v>
                </c:pt>
                <c:pt idx="1">
                  <c:v>Non-pregnant women</c:v>
                </c:pt>
                <c:pt idx="2">
                  <c:v>Total</c:v>
                </c:pt>
              </c:strCache>
            </c:strRef>
          </c:cat>
          <c:val>
            <c:numRef>
              <c:f>'11.12 Anemia in women'!$C$10:$E$10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8A-42B3-8327-0FE85802F05E}"/>
            </c:ext>
          </c:extLst>
        </c:ser>
        <c:ser>
          <c:idx val="3"/>
          <c:order val="3"/>
          <c:tx>
            <c:strRef>
              <c:f>'11.12 Anemia in women'!$B$11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9144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'11.12 Anemia in women'!$C$7:$E$7</c:f>
              <c:strCache>
                <c:ptCount val="3"/>
                <c:pt idx="0">
                  <c:v>Pregnant women</c:v>
                </c:pt>
                <c:pt idx="1">
                  <c:v>Non-pregnant women</c:v>
                </c:pt>
                <c:pt idx="2">
                  <c:v>Total</c:v>
                </c:pt>
              </c:strCache>
            </c:strRef>
          </c:cat>
          <c:val>
            <c:numRef>
              <c:f>'11.12 Anemia in women'!$C$11:$E$11</c:f>
              <c:numCache>
                <c:formatCode>General</c:formatCode>
                <c:ptCount val="3"/>
                <c:pt idx="0">
                  <c:v>37</c:v>
                </c:pt>
                <c:pt idx="1">
                  <c:v>28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8A-42B3-8327-0FE85802F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87119896"/>
        <c:axId val="187120288"/>
      </c:barChart>
      <c:catAx>
        <c:axId val="187119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87120288"/>
        <c:crosses val="autoZero"/>
        <c:auto val="1"/>
        <c:lblAlgn val="ctr"/>
        <c:lblOffset val="100"/>
        <c:noMultiLvlLbl val="0"/>
      </c:catAx>
      <c:valAx>
        <c:axId val="187120288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1871198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800" b="0" i="1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Percentage of women age 15-49 achieving minimum dietary diversity the day before the survey</a:t>
            </a:r>
            <a:endParaRPr lang="en-US" i="1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57029199475065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17607174103234E-3"/>
          <c:y val="0.2819556539807524"/>
          <c:w val="0.99189823928258969"/>
          <c:h val="0.604217246281714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FB93-4149-8EF6-77095F17432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FB93-4149-8EF6-77095F17432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FB93-4149-8EF6-77095F174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'11.13 MDD-W'!$A$8:$A$10</c:f>
              <c:strCache>
                <c:ptCount val="3"/>
                <c:pt idx="0">
                  <c:v>Total</c:v>
                </c:pt>
                <c:pt idx="1">
                  <c:v>Urban</c:v>
                </c:pt>
                <c:pt idx="2">
                  <c:v>Rural</c:v>
                </c:pt>
              </c:strCache>
            </c:strRef>
          </c:cat>
          <c:val>
            <c:numRef>
              <c:f>'11.13 MDD-W'!$B$8:$B$10</c:f>
              <c:numCache>
                <c:formatCode>General</c:formatCode>
                <c:ptCount val="3"/>
                <c:pt idx="0">
                  <c:v>49</c:v>
                </c:pt>
                <c:pt idx="1">
                  <c:v>56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93-4149-8EF6-77095F174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64291536"/>
        <c:axId val="164291144"/>
      </c:barChart>
      <c:catAx>
        <c:axId val="164291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91144"/>
        <c:crosses val="autoZero"/>
        <c:auto val="1"/>
        <c:lblAlgn val="ctr"/>
        <c:lblOffset val="100"/>
        <c:noMultiLvlLbl val="0"/>
      </c:catAx>
      <c:valAx>
        <c:axId val="164291144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42915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 u="none" strike="noStrike" baseline="0">
                <a:effectLst/>
              </a:rPr>
              <a:t>Percentage of women age 15-49 achieving minimum dietary diversity the day before the survey</a:t>
            </a:r>
            <a:r>
              <a:rPr lang="en-US" sz="1800" b="0" i="1" u="none" strike="noStrike" baseline="0"/>
              <a:t> </a:t>
            </a:r>
            <a:endParaRPr lang="en-US" sz="1800" b="0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834481627296587"/>
          <c:y val="5.503791192767571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592592592592587E-3"/>
          <c:y val="0.12835593467483233"/>
          <c:w val="0.98379629629629628"/>
          <c:h val="0.701355594439583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</c:spPr>
          <c:invertIfNegative val="0"/>
          <c:dPt>
            <c:idx val="4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0DC1-413E-AF5A-ACF8BE57485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'11.13 MDD-W'!$A$19:$A$22</c:f>
              <c:strCache>
                <c:ptCount val="4"/>
                <c:pt idx="0">
                  <c:v>No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More than secondary</c:v>
                </c:pt>
              </c:strCache>
            </c:strRef>
          </c:cat>
          <c:val>
            <c:numRef>
              <c:f>'11.13 MDD-W'!$B$19:$B$22</c:f>
              <c:numCache>
                <c:formatCode>General</c:formatCode>
                <c:ptCount val="4"/>
                <c:pt idx="0">
                  <c:v>20</c:v>
                </c:pt>
                <c:pt idx="1">
                  <c:v>39</c:v>
                </c:pt>
                <c:pt idx="2">
                  <c:v>53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C1-413E-AF5A-ACF8BE574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61384"/>
        <c:axId val="190261768"/>
      </c:barChart>
      <c:catAx>
        <c:axId val="190261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90261768"/>
        <c:crosses val="autoZero"/>
        <c:auto val="1"/>
        <c:lblAlgn val="ctr"/>
        <c:lblOffset val="100"/>
        <c:noMultiLvlLbl val="0"/>
      </c:catAx>
      <c:valAx>
        <c:axId val="190261768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1902613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>
                <a:solidFill>
                  <a:schemeClr val="tx1"/>
                </a:solidFill>
              </a:defRPr>
            </a:pPr>
            <a:r>
              <a:rPr lang="en-US" sz="1800" b="0" i="1">
                <a:solidFill>
                  <a:schemeClr val="tx1"/>
                </a:solidFill>
              </a:rPr>
              <a:t>Percentage of women age 15-49 achieving minimum dietary diversity the day before the survey</a:t>
            </a:r>
          </a:p>
        </c:rich>
      </c:tx>
      <c:layout>
        <c:manualLayout>
          <c:xMode val="edge"/>
          <c:yMode val="edge"/>
          <c:x val="0.1206944444444444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7777777777777776E-2"/>
          <c:y val="0.12095849129969864"/>
          <c:w val="0.97222222222222221"/>
          <c:h val="0.689179790026246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DA9D-406F-81EB-20BE62F9A73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'11.13 MDD-W'!$A$25:$A$29</c:f>
              <c:strCache>
                <c:ptCount val="5"/>
                <c:pt idx="0">
                  <c:v>Lowest</c:v>
                </c:pt>
                <c:pt idx="1">
                  <c:v>Second</c:v>
                </c:pt>
                <c:pt idx="2">
                  <c:v>Middle</c:v>
                </c:pt>
                <c:pt idx="3">
                  <c:v>Fourth</c:v>
                </c:pt>
                <c:pt idx="4">
                  <c:v>Highest</c:v>
                </c:pt>
              </c:strCache>
            </c:strRef>
          </c:cat>
          <c:val>
            <c:numRef>
              <c:f>'11.13 MDD-W'!$B$25:$B$29</c:f>
              <c:numCache>
                <c:formatCode>General</c:formatCode>
                <c:ptCount val="5"/>
                <c:pt idx="0">
                  <c:v>22</c:v>
                </c:pt>
                <c:pt idx="1">
                  <c:v>38</c:v>
                </c:pt>
                <c:pt idx="2">
                  <c:v>48</c:v>
                </c:pt>
                <c:pt idx="3">
                  <c:v>56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9D-406F-81EB-20BE62F9A7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90275760"/>
        <c:axId val="190276152"/>
      </c:barChart>
      <c:catAx>
        <c:axId val="190275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chemeClr val="tx1"/>
            </a:solidFill>
          </a:ln>
        </c:spPr>
        <c:crossAx val="190276152"/>
        <c:crosses val="autoZero"/>
        <c:auto val="1"/>
        <c:lblAlgn val="ctr"/>
        <c:lblOffset val="100"/>
        <c:noMultiLvlLbl val="0"/>
      </c:catAx>
      <c:valAx>
        <c:axId val="190276152"/>
        <c:scaling>
          <c:orientation val="minMax"/>
          <c:max val="80"/>
        </c:scaling>
        <c:delete val="1"/>
        <c:axPos val="l"/>
        <c:numFmt formatCode="General" sourceLinked="1"/>
        <c:majorTickMark val="out"/>
        <c:minorTickMark val="none"/>
        <c:tickLblPos val="nextTo"/>
        <c:crossAx val="1902757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289278</xdr:colOff>
      <xdr:row>3</xdr:row>
      <xdr:rowOff>105833</xdr:rowOff>
    </xdr:from>
    <xdr:to>
      <xdr:col>27</xdr:col>
      <xdr:colOff>7056</xdr:colOff>
      <xdr:row>32</xdr:row>
      <xdr:rowOff>38805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329143</xdr:colOff>
      <xdr:row>14</xdr:row>
      <xdr:rowOff>81137</xdr:rowOff>
    </xdr:from>
    <xdr:to>
      <xdr:col>13</xdr:col>
      <xdr:colOff>444500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0.7169</cdr:x>
      <cdr:y>0.31144</cdr:y>
    </cdr:from>
    <cdr:to>
      <cdr:x>0.90024</cdr:x>
      <cdr:y>0.37811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3933215" y="1281533"/>
          <a:ext cx="1005877" cy="274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Stunted</a:t>
          </a:r>
        </a:p>
      </cdr:txBody>
    </cdr:sp>
  </cdr:relSizeAnchor>
  <cdr:relSizeAnchor xmlns:cdr="http://schemas.openxmlformats.org/drawingml/2006/chartDrawing">
    <cdr:from>
      <cdr:x>0.63889</cdr:x>
      <cdr:y>0.53348</cdr:y>
    </cdr:from>
    <cdr:to>
      <cdr:x>0.90555</cdr:x>
      <cdr:y>0.60014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505197" y="2195153"/>
          <a:ext cx="1463003" cy="274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Underweight</a:t>
          </a:r>
        </a:p>
      </cdr:txBody>
    </cdr:sp>
  </cdr:relSizeAnchor>
  <cdr:relSizeAnchor xmlns:cdr="http://schemas.openxmlformats.org/drawingml/2006/chartDrawing">
    <cdr:from>
      <cdr:x>0.63055</cdr:x>
      <cdr:y>0.69789</cdr:y>
    </cdr:from>
    <cdr:to>
      <cdr:x>0.89722</cdr:x>
      <cdr:y>0.76456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3459450" y="2871663"/>
          <a:ext cx="1463058" cy="2743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Overweight</a:t>
          </a:r>
        </a:p>
      </cdr:txBody>
    </cdr:sp>
  </cdr:relSizeAnchor>
  <cdr:relSizeAnchor xmlns:cdr="http://schemas.openxmlformats.org/drawingml/2006/chartDrawing">
    <cdr:from>
      <cdr:x>0.19293</cdr:x>
      <cdr:y>0.70165</cdr:y>
    </cdr:from>
    <cdr:to>
      <cdr:x>0.3596</cdr:x>
      <cdr:y>0.76831</cdr:y>
    </cdr:to>
    <cdr:sp macro="" textlink="">
      <cdr:nvSpPr>
        <cdr:cNvPr id="5" name="TextBox 2"/>
        <cdr:cNvSpPr txBox="1"/>
      </cdr:nvSpPr>
      <cdr:spPr>
        <a:xfrm xmlns:a="http://schemas.openxmlformats.org/drawingml/2006/main">
          <a:off x="1058494" y="2887133"/>
          <a:ext cx="914418" cy="274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Wasted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0.73924</cdr:x>
      <cdr:y>0.44652</cdr:y>
    </cdr:from>
    <cdr:to>
      <cdr:x>0.93924</cdr:x>
      <cdr:y>0.51319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4055745" y="1837359"/>
          <a:ext cx="1097280" cy="274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6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Stunted</a:t>
          </a:r>
        </a:p>
      </cdr:txBody>
    </cdr:sp>
  </cdr:relSizeAnchor>
  <cdr:relSizeAnchor xmlns:cdr="http://schemas.openxmlformats.org/drawingml/2006/chartDrawing">
    <cdr:from>
      <cdr:x>0.73785</cdr:x>
      <cdr:y>0.5472</cdr:y>
    </cdr:from>
    <cdr:to>
      <cdr:x>1</cdr:x>
      <cdr:y>0.61386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048125" y="2251612"/>
          <a:ext cx="1438275" cy="2742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6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Underweight</a:t>
          </a:r>
        </a:p>
      </cdr:txBody>
    </cdr:sp>
  </cdr:relSizeAnchor>
  <cdr:relSizeAnchor xmlns:cdr="http://schemas.openxmlformats.org/drawingml/2006/chartDrawing">
    <cdr:from>
      <cdr:x>0.74132</cdr:x>
      <cdr:y>0.68362</cdr:y>
    </cdr:from>
    <cdr:to>
      <cdr:x>0.98438</cdr:x>
      <cdr:y>0.75029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4067175" y="2812970"/>
          <a:ext cx="1333500" cy="274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600" b="1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Overweight</a:t>
          </a:r>
        </a:p>
      </cdr:txBody>
    </cdr:sp>
  </cdr:relSizeAnchor>
  <cdr:relSizeAnchor xmlns:cdr="http://schemas.openxmlformats.org/drawingml/2006/chartDrawing">
    <cdr:from>
      <cdr:x>0.74826</cdr:x>
      <cdr:y>0.78047</cdr:y>
    </cdr:from>
    <cdr:to>
      <cdr:x>0.92361</cdr:x>
      <cdr:y>0.84714</cdr:y>
    </cdr:to>
    <cdr:sp macro="" textlink="">
      <cdr:nvSpPr>
        <cdr:cNvPr id="5" name="TextBox 2"/>
        <cdr:cNvSpPr txBox="1"/>
      </cdr:nvSpPr>
      <cdr:spPr>
        <a:xfrm xmlns:a="http://schemas.openxmlformats.org/drawingml/2006/main">
          <a:off x="4105274" y="3211476"/>
          <a:ext cx="962025" cy="274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600" b="1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Wasted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504190</xdr:colOff>
      <xdr:row>8</xdr:row>
      <xdr:rowOff>119380</xdr:rowOff>
    </xdr:from>
    <xdr:to>
      <xdr:col>16</xdr:col>
      <xdr:colOff>82550</xdr:colOff>
      <xdr:row>35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0.08923</cdr:x>
      <cdr:y>0.92256</cdr:y>
    </cdr:from>
    <cdr:to>
      <cdr:x>0.3559</cdr:x>
      <cdr:y>0.99999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9567" y="3796150"/>
          <a:ext cx="1463058" cy="318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Any stunting</a:t>
          </a:r>
        </a:p>
      </cdr:txBody>
    </cdr:sp>
  </cdr:relSizeAnchor>
  <cdr:relSizeAnchor xmlns:cdr="http://schemas.openxmlformats.org/drawingml/2006/chartDrawing">
    <cdr:from>
      <cdr:x>0.61342</cdr:x>
      <cdr:y>0.92256</cdr:y>
    </cdr:from>
    <cdr:to>
      <cdr:x>0.94097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365492" y="3796150"/>
          <a:ext cx="1797070" cy="318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Severe stunting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600125</xdr:colOff>
      <xdr:row>22</xdr:row>
      <xdr:rowOff>115288</xdr:rowOff>
    </xdr:from>
    <xdr:to>
      <xdr:col>12</xdr:col>
      <xdr:colOff>600125</xdr:colOff>
      <xdr:row>44</xdr:row>
      <xdr:rowOff>39088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476794</xdr:colOff>
      <xdr:row>44</xdr:row>
      <xdr:rowOff>64770</xdr:rowOff>
    </xdr:from>
    <xdr:to>
      <xdr:col>10</xdr:col>
      <xdr:colOff>476794</xdr:colOff>
      <xdr:row>65</xdr:row>
      <xdr:rowOff>169545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219982</xdr:colOff>
      <xdr:row>0</xdr:row>
      <xdr:rowOff>0</xdr:rowOff>
    </xdr:from>
    <xdr:to>
      <xdr:col>19</xdr:col>
      <xdr:colOff>247764</xdr:colOff>
      <xdr:row>18</xdr:row>
      <xdr:rowOff>137433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B0973B-3424-4116-8215-ABEA0CDD0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0.04051</cdr:x>
      <cdr:y>0.93333</cdr:y>
    </cdr:from>
    <cdr:to>
      <cdr:x>0.27384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2260" y="3840480"/>
          <a:ext cx="12801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Poorest</a:t>
          </a:r>
        </a:p>
      </cdr:txBody>
    </cdr:sp>
  </cdr:relSizeAnchor>
  <cdr:relSizeAnchor xmlns:cdr="http://schemas.openxmlformats.org/drawingml/2006/chartDrawing">
    <cdr:from>
      <cdr:x>0.21828</cdr:x>
      <cdr:y>0.9674</cdr:y>
    </cdr:from>
    <cdr:to>
      <cdr:x>0.7375</cdr:x>
      <cdr:y>0.9674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F28B6F0F-EBAA-4DFB-977E-A0395A18210D}"/>
            </a:ext>
          </a:extLst>
        </cdr:cNvPr>
        <cdr:cNvCxnSpPr/>
      </cdr:nvCxnSpPr>
      <cdr:spPr>
        <a:xfrm xmlns:a="http://schemas.openxmlformats.org/drawingml/2006/main" flipV="1">
          <a:off x="1197590" y="3980645"/>
          <a:ext cx="2848630" cy="1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accent4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0.7375</cdr:x>
      <cdr:y>0.93333</cdr:y>
    </cdr:from>
    <cdr:to>
      <cdr:x>0.97083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46220" y="3840480"/>
          <a:ext cx="12801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Wealthiest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502919</xdr:colOff>
      <xdr:row>13</xdr:row>
      <xdr:rowOff>7620</xdr:rowOff>
    </xdr:from>
    <xdr:to>
      <xdr:col>16</xdr:col>
      <xdr:colOff>55562</xdr:colOff>
      <xdr:row>40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85363-C654-7599-1520-A4C7C4F2C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160655</xdr:colOff>
      <xdr:row>3</xdr:row>
      <xdr:rowOff>140970</xdr:rowOff>
    </xdr:from>
    <xdr:to>
      <xdr:col>17</xdr:col>
      <xdr:colOff>160655</xdr:colOff>
      <xdr:row>25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487363</xdr:colOff>
      <xdr:row>27</xdr:row>
      <xdr:rowOff>38100</xdr:rowOff>
    </xdr:from>
    <xdr:to>
      <xdr:col>12</xdr:col>
      <xdr:colOff>487362</xdr:colOff>
      <xdr:row>49</xdr:row>
      <xdr:rowOff>14877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FFB83-0922-4025-8103-6A2F3E28C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14</xdr:col>
      <xdr:colOff>155575</xdr:colOff>
      <xdr:row>27</xdr:row>
      <xdr:rowOff>152400</xdr:rowOff>
    </xdr:from>
    <xdr:to>
      <xdr:col>23</xdr:col>
      <xdr:colOff>155575</xdr:colOff>
      <xdr:row>50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654A42-9980-4013-ABFA-6BE3E0345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0.04051</cdr:x>
      <cdr:y>0.93333</cdr:y>
    </cdr:from>
    <cdr:to>
      <cdr:x>0.27384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2260" y="3840480"/>
          <a:ext cx="12801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Poorest</a:t>
          </a:r>
        </a:p>
      </cdr:txBody>
    </cdr:sp>
  </cdr:relSizeAnchor>
  <cdr:relSizeAnchor xmlns:cdr="http://schemas.openxmlformats.org/drawingml/2006/chartDrawing">
    <cdr:from>
      <cdr:x>0.21828</cdr:x>
      <cdr:y>0.9674</cdr:y>
    </cdr:from>
    <cdr:to>
      <cdr:x>0.7375</cdr:x>
      <cdr:y>0.9674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F28B6F0F-EBAA-4DFB-977E-A0395A18210D}"/>
            </a:ext>
          </a:extLst>
        </cdr:cNvPr>
        <cdr:cNvCxnSpPr/>
      </cdr:nvCxnSpPr>
      <cdr:spPr>
        <a:xfrm xmlns:a="http://schemas.openxmlformats.org/drawingml/2006/main" flipV="1">
          <a:off x="1197590" y="3980645"/>
          <a:ext cx="2848630" cy="1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accent4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0.7375</cdr:x>
      <cdr:y>0.93333</cdr:y>
    </cdr:from>
    <cdr:to>
      <cdr:x>0.97083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46220" y="3840480"/>
          <a:ext cx="12801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Wealthiest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122096</xdr:colOff>
      <xdr:row>3</xdr:row>
      <xdr:rowOff>47784</xdr:rowOff>
    </xdr:from>
    <xdr:to>
      <xdr:col>20</xdr:col>
      <xdr:colOff>122096</xdr:colOff>
      <xdr:row>24</xdr:row>
      <xdr:rowOff>160814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20049-3680-44CD-862E-E3F3858D0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299137</xdr:colOff>
      <xdr:row>49</xdr:row>
      <xdr:rowOff>128588</xdr:rowOff>
    </xdr:from>
    <xdr:to>
      <xdr:col>16</xdr:col>
      <xdr:colOff>299137</xdr:colOff>
      <xdr:row>71</xdr:row>
      <xdr:rowOff>52388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704EFD-10CC-432C-9243-A74945601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7</xdr:col>
      <xdr:colOff>133209</xdr:colOff>
      <xdr:row>26</xdr:row>
      <xdr:rowOff>146685</xdr:rowOff>
    </xdr:from>
    <xdr:to>
      <xdr:col>19</xdr:col>
      <xdr:colOff>133209</xdr:colOff>
      <xdr:row>47</xdr:row>
      <xdr:rowOff>139065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5061F3-E4B6-4630-9790-FCB185B53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818444</xdr:colOff>
      <xdr:row>74</xdr:row>
      <xdr:rowOff>89376</xdr:rowOff>
    </xdr:from>
    <xdr:to>
      <xdr:col>11</xdr:col>
      <xdr:colOff>296599</xdr:colOff>
      <xdr:row>95</xdr:row>
      <xdr:rowOff>89376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E48862-3292-4B14-8B4F-1D56AC673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0.15174</cdr:x>
      <cdr:y>0.21557</cdr:y>
    </cdr:from>
    <cdr:to>
      <cdr:x>0.32673</cdr:x>
      <cdr:y>0.28224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B8423C-6F3C-BD61-52A1-59538A9EB2E6}"/>
            </a:ext>
          </a:extLst>
        </cdr:cNvPr>
        <cdr:cNvSpPr txBox="1"/>
      </cdr:nvSpPr>
      <cdr:spPr>
        <a:xfrm xmlns:a="http://schemas.openxmlformats.org/drawingml/2006/main">
          <a:off x="1109980" y="850900"/>
          <a:ext cx="1280142" cy="263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Poorest</a:t>
          </a:r>
        </a:p>
      </cdr:txBody>
    </cdr:sp>
  </cdr:relSizeAnchor>
  <cdr:relSizeAnchor xmlns:cdr="http://schemas.openxmlformats.org/drawingml/2006/chartDrawing">
    <cdr:from>
      <cdr:x>0.28506</cdr:x>
      <cdr:y>0.24964</cdr:y>
    </cdr:from>
    <cdr:to>
      <cdr:x>0.67448</cdr:x>
      <cdr:y>0.24964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01ED83E0-4E18-9D3B-6BE0-C6338980949B}"/>
            </a:ext>
          </a:extLst>
        </cdr:cNvPr>
        <cdr:cNvCxnSpPr/>
      </cdr:nvCxnSpPr>
      <cdr:spPr>
        <a:xfrm xmlns:a="http://schemas.openxmlformats.org/drawingml/2006/main" flipV="1">
          <a:off x="2085297" y="985380"/>
          <a:ext cx="2848649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accent4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0.67448</cdr:x>
      <cdr:y>0.21557</cdr:y>
    </cdr:from>
    <cdr:to>
      <cdr:x>0.84948</cdr:x>
      <cdr:y>0.28224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4DAD82B-0262-570A-1E4C-41F5CF2034CB}"/>
            </a:ext>
          </a:extLst>
        </cdr:cNvPr>
        <cdr:cNvSpPr txBox="1"/>
      </cdr:nvSpPr>
      <cdr:spPr>
        <a:xfrm xmlns:a="http://schemas.openxmlformats.org/drawingml/2006/main">
          <a:off x="4933946" y="850900"/>
          <a:ext cx="1280142" cy="263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Wealthiest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384811</xdr:colOff>
      <xdr:row>11</xdr:row>
      <xdr:rowOff>165241</xdr:rowOff>
    </xdr:from>
    <xdr:to>
      <xdr:col>16</xdr:col>
      <xdr:colOff>384811</xdr:colOff>
      <xdr:row>33</xdr:row>
      <xdr:rowOff>180481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0.77708</cdr:x>
      <cdr:y>0.70894</cdr:y>
    </cdr:from>
    <cdr:to>
      <cdr:x>1</cdr:x>
      <cdr:y>0.77561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63390" y="2981980"/>
          <a:ext cx="1223010" cy="28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Moderate</a:t>
          </a:r>
        </a:p>
      </cdr:txBody>
    </cdr:sp>
  </cdr:relSizeAnchor>
  <cdr:relSizeAnchor xmlns:cdr="http://schemas.openxmlformats.org/drawingml/2006/chartDrawing">
    <cdr:from>
      <cdr:x>0.77708</cdr:x>
      <cdr:y>0.53496</cdr:y>
    </cdr:from>
    <cdr:to>
      <cdr:x>1</cdr:x>
      <cdr:y>0.60163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63390" y="2250183"/>
          <a:ext cx="1223010" cy="28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Mild</a:t>
          </a:r>
          <a:endParaRPr lang="en-US" sz="16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0.77535</cdr:x>
      <cdr:y>0.41307</cdr:y>
    </cdr:from>
    <cdr:to>
      <cdr:x>1</cdr:x>
      <cdr:y>0.47974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253865" y="1737472"/>
          <a:ext cx="1232535" cy="28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Severe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78105</xdr:colOff>
      <xdr:row>4</xdr:row>
      <xdr:rowOff>38100</xdr:rowOff>
    </xdr:from>
    <xdr:to>
      <xdr:col>20</xdr:col>
      <xdr:colOff>78105</xdr:colOff>
      <xdr:row>28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0.00182</cdr:x>
      <cdr:y>0.14377</cdr:y>
    </cdr:from>
    <cdr:to>
      <cdr:x>0.34869</cdr:x>
      <cdr:y>0.2345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8E9F168-616E-FA6B-504F-1E45D0AAD0B0}"/>
            </a:ext>
          </a:extLst>
        </cdr:cNvPr>
        <cdr:cNvSpPr txBox="1"/>
      </cdr:nvSpPr>
      <cdr:spPr>
        <a:xfrm xmlns:a="http://schemas.openxmlformats.org/drawingml/2006/main">
          <a:off x="13338" y="637592"/>
          <a:ext cx="2537423" cy="4023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>
              <a:latin typeface="Arial" panose="020B0604020202020204" pitchFamily="34" charset="0"/>
              <a:cs typeface="Arial" panose="020B0604020202020204" pitchFamily="34" charset="0"/>
            </a:rPr>
            <a:t>Adolescents age 15-19</a:t>
          </a:r>
        </a:p>
      </cdr:txBody>
    </cdr:sp>
  </cdr:relSizeAnchor>
  <cdr:relSizeAnchor xmlns:cdr="http://schemas.openxmlformats.org/drawingml/2006/chartDrawing">
    <cdr:from>
      <cdr:x>0.42361</cdr:x>
      <cdr:y>0.14613</cdr:y>
    </cdr:from>
    <cdr:to>
      <cdr:x>0.77049</cdr:x>
      <cdr:y>0.23687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13256DB-4AD6-57DE-F2BE-4A7E45A270E8}"/>
            </a:ext>
          </a:extLst>
        </cdr:cNvPr>
        <cdr:cNvSpPr txBox="1"/>
      </cdr:nvSpPr>
      <cdr:spPr>
        <a:xfrm xmlns:a="http://schemas.openxmlformats.org/drawingml/2006/main">
          <a:off x="3098780" y="648071"/>
          <a:ext cx="2537496" cy="4024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latin typeface="Arial" panose="020B0604020202020204" pitchFamily="34" charset="0"/>
              <a:cs typeface="Arial" panose="020B0604020202020204" pitchFamily="34" charset="0"/>
            </a:rPr>
            <a:t>Adults age 20-49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342900</xdr:colOff>
      <xdr:row>7</xdr:row>
      <xdr:rowOff>282258</xdr:rowOff>
    </xdr:from>
    <xdr:to>
      <xdr:col>21</xdr:col>
      <xdr:colOff>381635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15</xdr:row>
      <xdr:rowOff>101600</xdr:rowOff>
    </xdr:from>
    <xdr:to>
      <xdr:col>11</xdr:col>
      <xdr:colOff>342900</xdr:colOff>
      <xdr:row>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0.67339</cdr:x>
      <cdr:y>0.61206</cdr:y>
    </cdr:from>
    <cdr:to>
      <cdr:x>0.82339</cdr:x>
      <cdr:y>0.67871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131086" y="2815999"/>
          <a:ext cx="920211" cy="3066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Thin</a:t>
          </a:r>
        </a:p>
      </cdr:txBody>
    </cdr:sp>
  </cdr:relSizeAnchor>
  <cdr:relSizeAnchor xmlns:cdr="http://schemas.openxmlformats.org/drawingml/2006/chartDrawing">
    <cdr:from>
      <cdr:x>0.53714</cdr:x>
      <cdr:y>0.40412</cdr:y>
    </cdr:from>
    <cdr:to>
      <cdr:x>0.78714</cdr:x>
      <cdr:y>0.53746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2946986" y="1662884"/>
          <a:ext cx="1371600" cy="5486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Overweight/ obese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285750</xdr:colOff>
      <xdr:row>6</xdr:row>
      <xdr:rowOff>102870</xdr:rowOff>
    </xdr:from>
    <xdr:to>
      <xdr:col>14</xdr:col>
      <xdr:colOff>285750</xdr:colOff>
      <xdr:row>26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D34B1-E25D-41B0-AB29-C226010F1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0.78646</cdr:x>
      <cdr:y>0.59263</cdr:y>
    </cdr:from>
    <cdr:to>
      <cdr:x>1</cdr:x>
      <cdr:y>0.6593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14825" y="2492746"/>
          <a:ext cx="1171575" cy="28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Moderate</a:t>
          </a:r>
        </a:p>
      </cdr:txBody>
    </cdr:sp>
  </cdr:relSizeAnchor>
  <cdr:relSizeAnchor xmlns:cdr="http://schemas.openxmlformats.org/drawingml/2006/chartDrawing">
    <cdr:from>
      <cdr:x>0.78472</cdr:x>
      <cdr:y>0.70445</cdr:y>
    </cdr:from>
    <cdr:to>
      <cdr:x>1</cdr:x>
      <cdr:y>0.77112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305300" y="2963090"/>
          <a:ext cx="1181099" cy="28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Mild</a:t>
          </a:r>
        </a:p>
      </cdr:txBody>
    </cdr:sp>
  </cdr:relSizeAnchor>
  <cdr:relSizeAnchor xmlns:cdr="http://schemas.openxmlformats.org/drawingml/2006/chartDrawing">
    <cdr:from>
      <cdr:x>0.78646</cdr:x>
      <cdr:y>0.51561</cdr:y>
    </cdr:from>
    <cdr:to>
      <cdr:x>1</cdr:x>
      <cdr:y>0.58228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314825" y="2168779"/>
          <a:ext cx="1171575" cy="280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Severe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209550</xdr:colOff>
      <xdr:row>5</xdr:row>
      <xdr:rowOff>152400</xdr:rowOff>
    </xdr:from>
    <xdr:to>
      <xdr:col>14</xdr:col>
      <xdr:colOff>237332</xdr:colOff>
      <xdr:row>25</xdr:row>
      <xdr:rowOff>1362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81E22B-3E7D-4843-8502-8369FD3FC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0</xdr:colOff>
      <xdr:row>27</xdr:row>
      <xdr:rowOff>0</xdr:rowOff>
    </xdr:from>
    <xdr:to>
      <xdr:col>13</xdr:col>
      <xdr:colOff>0</xdr:colOff>
      <xdr:row>49</xdr:row>
      <xdr:rowOff>13607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896EBD-2F02-4337-8A24-34177E27B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14</xdr:col>
      <xdr:colOff>231775</xdr:colOff>
      <xdr:row>26</xdr:row>
      <xdr:rowOff>120650</xdr:rowOff>
    </xdr:from>
    <xdr:to>
      <xdr:col>23</xdr:col>
      <xdr:colOff>231775</xdr:colOff>
      <xdr:row>48</xdr:row>
      <xdr:rowOff>130175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CBA09B-7ECC-46E9-89DF-0B3B1B812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0.04051</cdr:x>
      <cdr:y>0.93333</cdr:y>
    </cdr:from>
    <cdr:to>
      <cdr:x>0.27384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2260" y="3840480"/>
          <a:ext cx="12801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Poorest</a:t>
          </a:r>
        </a:p>
      </cdr:txBody>
    </cdr:sp>
  </cdr:relSizeAnchor>
  <cdr:relSizeAnchor xmlns:cdr="http://schemas.openxmlformats.org/drawingml/2006/chartDrawing">
    <cdr:from>
      <cdr:x>0.21828</cdr:x>
      <cdr:y>0.9674</cdr:y>
    </cdr:from>
    <cdr:to>
      <cdr:x>0.7375</cdr:x>
      <cdr:y>0.9674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F28B6F0F-EBAA-4DFB-977E-A0395A18210D}"/>
            </a:ext>
          </a:extLst>
        </cdr:cNvPr>
        <cdr:cNvCxnSpPr/>
      </cdr:nvCxnSpPr>
      <cdr:spPr>
        <a:xfrm xmlns:a="http://schemas.openxmlformats.org/drawingml/2006/main" flipV="1">
          <a:off x="1197590" y="3980645"/>
          <a:ext cx="2848630" cy="1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accent4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0.7375</cdr:x>
      <cdr:y>0.93333</cdr:y>
    </cdr:from>
    <cdr:to>
      <cdr:x>0.97083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046220" y="3840480"/>
          <a:ext cx="12801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i="1">
              <a:latin typeface="Arial" panose="020B0604020202020204" pitchFamily="34" charset="0"/>
              <a:cs typeface="Arial" panose="020B0604020202020204" pitchFamily="34" charset="0"/>
            </a:rPr>
            <a:t>Wealthiest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s in adult nutritio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hague, Sabina" id="{192BBF96-E3A6-4CFE-9B1D-8A6DEA6905E9}" userId="S::57291@icf.com::2f9f8379-56ce-455c-81be-d1dc66b28ae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3-02-14T13:24:40.05" personId="{192BBF96-E3A6-4CFE-9B1D-8A6DEA6905E9}" id="{7C5113B2-BE19-48D4-8210-A4EE86E096EC}">
    <text>The only place I see anemia indicators is in the two Kenya MISs from 2015 and 2020</text>
  </threadedComment>
  <threadedComment ref="C13" dT="2023-02-14T13:31:53.98" personId="{192BBF96-E3A6-4CFE-9B1D-8A6DEA6905E9}" id="{42963B6D-A3FF-41F5-B315-D40F86CB7DB9}">
    <text>The only Kenya DHS table that contains nutritional status is 11.13, and that's for adult women only. No men, no adolescents</text>
  </threadedComment>
  <threadedComment ref="C15" dT="2023-02-14T15:28:22.84" personId="{192BBF96-E3A6-4CFE-9B1D-8A6DEA6905E9}" id="{6E9A6BAD-E98B-43C6-A758-0D2AB17469E8}">
    <text>There is no tale 11.17.1 and I can't find anemia in any of the Chapter 11 tables</text>
  </threadedComment>
  <threadedComment ref="C16" dT="2023-02-14T15:29:44.94" personId="{192BBF96-E3A6-4CFE-9B1D-8A6DEA6905E9}" id="{481EE888-B8C6-4974-A574-9B3123EAE86E}">
    <text>Table 11.16 is iodized salt. The correct tabl is 11.15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" dT="2023-02-14T12:56:56.24" personId="{192BBF96-E3A6-4CFE-9B1D-8A6DEA6905E9}" id="{7F59A51D-FD89-44A1-A46B-CF8B77B053D1}">
    <text>Selected "all children" and "minimum acceptable diet" for this one</text>
  </threadedComment>
  <threadedComment ref="A20" dT="2023-02-14T13:02:07.62" personId="{192BBF96-E3A6-4CFE-9B1D-8A6DEA6905E9}" id="{AD88734A-8813-4EB5-9669-7974AE2D6C87}">
    <text>Selected "all children" and "minimum acceptable diet" for this one too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3-02-14T13:23:38.01" personId="{192BBF96-E3A6-4CFE-9B1D-8A6DEA6905E9}" id="{85F7B60D-3BFD-4424-9E60-4E2AA42212A2}">
    <text>This is very confusing. I can't find any mention of anemia in the tables, and the only place I can find these indicators on STATcompiler is in the two MISs that were done in 2015 and 2020...not in the previous DHSs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" dT="2023-02-14T13:30:54.33" personId="{192BBF96-E3A6-4CFE-9B1D-8A6DEA6905E9}" id="{1631F830-0AFC-44C2-B516-F2730364B8BD}">
    <text xml:space="preserve">I can only find nutritional status of women (Table 11.13) -- nothing about men or adolescents.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zoomScale="80" zoomScaleNormal="80" workbookViewId="0">
      <selection activeCell="F14" sqref="F14"/>
    </sheetView>
  </sheetViews>
  <sheetFormatPr defaultColWidth="9.26953125" defaultRowHeight="14.5" x14ac:dyDescent="0.35"/>
  <cols>
    <col min="1" max="1" width="10.54296875" style="4" customWidth="1"/>
    <col min="2" max="2" width="23" style="4" customWidth="1"/>
    <col min="3" max="3" width="16.26953125" style="4" customWidth="1"/>
    <col min="4" max="4" width="21.7265625" style="4" customWidth="1"/>
    <col min="5" max="5" width="22.7265625" style="4" customWidth="1"/>
    <col min="6" max="6" width="35.26953125" style="3" customWidth="1"/>
    <col min="7" max="16384" width="9.26953125" style="4"/>
  </cols>
  <sheetData>
    <row r="2" spans="1:6" ht="18.5" x14ac:dyDescent="0.35">
      <c r="A2" s="2" t="s">
        <v>0</v>
      </c>
      <c r="B2" s="3"/>
      <c r="D2" s="21" t="s">
        <v>1</v>
      </c>
      <c r="E2" s="21"/>
    </row>
    <row r="3" spans="1:6" ht="29" x14ac:dyDescent="0.35">
      <c r="A3" s="5" t="s">
        <v>2</v>
      </c>
      <c r="B3" s="5" t="s">
        <v>3</v>
      </c>
      <c r="C3" s="11" t="s">
        <v>4</v>
      </c>
      <c r="D3" s="5" t="s">
        <v>5</v>
      </c>
      <c r="E3" s="5" t="s">
        <v>6</v>
      </c>
    </row>
    <row r="4" spans="1:6" ht="58" x14ac:dyDescent="0.35">
      <c r="A4" s="12">
        <v>11.1</v>
      </c>
      <c r="B4" s="13" t="s">
        <v>7</v>
      </c>
      <c r="C4" s="9" t="s">
        <v>8</v>
      </c>
      <c r="D4" s="6" t="s">
        <v>9</v>
      </c>
      <c r="E4" s="6" t="s">
        <v>10</v>
      </c>
    </row>
    <row r="5" spans="1:6" ht="29" x14ac:dyDescent="0.35">
      <c r="A5" s="12">
        <v>11.2</v>
      </c>
      <c r="B5" s="13" t="s">
        <v>11</v>
      </c>
      <c r="C5" s="9" t="s">
        <v>8</v>
      </c>
      <c r="D5" s="6" t="s">
        <v>12</v>
      </c>
      <c r="E5" s="6" t="s">
        <v>13</v>
      </c>
    </row>
    <row r="6" spans="1:6" ht="58" x14ac:dyDescent="0.35">
      <c r="A6" s="12">
        <v>11.3</v>
      </c>
      <c r="B6" s="13" t="s">
        <v>14</v>
      </c>
      <c r="C6" s="9">
        <v>11.1</v>
      </c>
      <c r="D6" s="6" t="s">
        <v>15</v>
      </c>
      <c r="E6" s="6" t="s">
        <v>16</v>
      </c>
    </row>
    <row r="7" spans="1:6" ht="29" x14ac:dyDescent="0.35">
      <c r="A7" s="12">
        <v>11.4</v>
      </c>
      <c r="B7" s="13" t="s">
        <v>17</v>
      </c>
      <c r="C7" s="9">
        <v>11.1</v>
      </c>
      <c r="D7" s="6" t="s">
        <v>18</v>
      </c>
      <c r="E7" s="6" t="s">
        <v>19</v>
      </c>
    </row>
    <row r="8" spans="1:6" ht="72.5" x14ac:dyDescent="0.35">
      <c r="A8" s="12">
        <v>11.5</v>
      </c>
      <c r="B8" s="13" t="s">
        <v>20</v>
      </c>
      <c r="C8" s="9">
        <v>11.5</v>
      </c>
      <c r="D8" s="6" t="s">
        <v>21</v>
      </c>
      <c r="E8" s="6" t="s">
        <v>128</v>
      </c>
      <c r="F8" s="19"/>
    </row>
    <row r="9" spans="1:6" ht="58" x14ac:dyDescent="0.35">
      <c r="A9" s="12">
        <v>11.6</v>
      </c>
      <c r="B9" s="13" t="s">
        <v>22</v>
      </c>
      <c r="C9" s="9" t="s">
        <v>23</v>
      </c>
      <c r="D9" s="6" t="s">
        <v>134</v>
      </c>
      <c r="E9" s="6" t="s">
        <v>16</v>
      </c>
      <c r="F9" s="19"/>
    </row>
    <row r="10" spans="1:6" ht="43.5" x14ac:dyDescent="0.35">
      <c r="A10" s="12">
        <v>11.7</v>
      </c>
      <c r="B10" s="13" t="s">
        <v>24</v>
      </c>
      <c r="C10" s="9">
        <v>11.9</v>
      </c>
      <c r="D10" s="6" t="s">
        <v>25</v>
      </c>
      <c r="E10" s="6" t="s">
        <v>16</v>
      </c>
      <c r="F10" s="19"/>
    </row>
    <row r="11" spans="1:6" ht="29" x14ac:dyDescent="0.35">
      <c r="A11" s="12">
        <v>11.8</v>
      </c>
      <c r="B11" s="13" t="s">
        <v>26</v>
      </c>
      <c r="C11" s="9" t="s">
        <v>27</v>
      </c>
      <c r="D11" s="6" t="s">
        <v>28</v>
      </c>
      <c r="E11" s="6" t="s">
        <v>29</v>
      </c>
    </row>
    <row r="12" spans="1:6" ht="43.5" x14ac:dyDescent="0.35">
      <c r="A12" s="14">
        <v>11.9</v>
      </c>
      <c r="B12" s="13" t="s">
        <v>30</v>
      </c>
      <c r="C12" s="9">
        <v>11.12</v>
      </c>
      <c r="D12" s="6" t="s">
        <v>18</v>
      </c>
      <c r="E12" s="6" t="s">
        <v>19</v>
      </c>
    </row>
    <row r="13" spans="1:6" ht="43.5" x14ac:dyDescent="0.35">
      <c r="A13" s="15" t="s">
        <v>31</v>
      </c>
      <c r="B13" s="13" t="s">
        <v>32</v>
      </c>
      <c r="C13" s="9" t="s">
        <v>33</v>
      </c>
      <c r="D13" s="6" t="s">
        <v>34</v>
      </c>
      <c r="E13" s="6" t="s">
        <v>29</v>
      </c>
      <c r="F13" s="19"/>
    </row>
    <row r="14" spans="1:6" ht="43.5" x14ac:dyDescent="0.35">
      <c r="A14" s="16">
        <v>11.11</v>
      </c>
      <c r="B14" s="13" t="s">
        <v>35</v>
      </c>
      <c r="C14" s="9" t="s">
        <v>36</v>
      </c>
      <c r="D14" s="6" t="s">
        <v>37</v>
      </c>
      <c r="E14" s="6" t="s">
        <v>38</v>
      </c>
      <c r="F14" s="19" t="s">
        <v>126</v>
      </c>
    </row>
    <row r="15" spans="1:6" ht="29" x14ac:dyDescent="0.35">
      <c r="A15" s="16">
        <v>11.12</v>
      </c>
      <c r="B15" s="13" t="s">
        <v>39</v>
      </c>
      <c r="C15" s="9" t="s">
        <v>40</v>
      </c>
      <c r="D15" s="6" t="s">
        <v>41</v>
      </c>
      <c r="E15" s="6" t="s">
        <v>29</v>
      </c>
      <c r="F15" s="19"/>
    </row>
    <row r="16" spans="1:6" ht="43.5" x14ac:dyDescent="0.35">
      <c r="A16" s="12">
        <v>11.13</v>
      </c>
      <c r="B16" s="13" t="s">
        <v>148</v>
      </c>
      <c r="C16" s="9">
        <v>11.16</v>
      </c>
      <c r="D16" s="6" t="s">
        <v>149</v>
      </c>
      <c r="E16" s="6" t="s">
        <v>16</v>
      </c>
      <c r="F16" s="19"/>
    </row>
    <row r="18" spans="1:6" x14ac:dyDescent="0.35">
      <c r="A18" s="17" t="s">
        <v>42</v>
      </c>
      <c r="B18" s="17"/>
      <c r="C18" s="17"/>
      <c r="F18" s="19"/>
    </row>
    <row r="19" spans="1:6" x14ac:dyDescent="0.35">
      <c r="A19" s="17" t="s">
        <v>43</v>
      </c>
      <c r="B19" s="17"/>
      <c r="C19" s="17"/>
    </row>
    <row r="20" spans="1:6" x14ac:dyDescent="0.35">
      <c r="A20" s="17" t="s">
        <v>44</v>
      </c>
      <c r="B20" s="17"/>
      <c r="C20" s="17"/>
    </row>
    <row r="21" spans="1:6" x14ac:dyDescent="0.35">
      <c r="A21" s="17" t="s">
        <v>45</v>
      </c>
      <c r="B21" s="17"/>
      <c r="C21" s="17"/>
    </row>
    <row r="22" spans="1:6" x14ac:dyDescent="0.35">
      <c r="A22" s="17" t="s">
        <v>46</v>
      </c>
      <c r="B22" s="17"/>
      <c r="C22" s="17"/>
    </row>
  </sheetData>
  <mergeCells count="1">
    <mergeCell ref="D2:E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zoomScale="90" zoomScaleNormal="90" workbookViewId="0">
      <selection activeCell="A13" sqref="A13"/>
    </sheetView>
  </sheetViews>
  <sheetFormatPr defaultRowHeight="14.5" x14ac:dyDescent="0.35"/>
  <cols>
    <col min="1" max="1" width="13.26953125" customWidth="1"/>
  </cols>
  <sheetData>
    <row r="1" spans="1:7" x14ac:dyDescent="0.35">
      <c r="A1" s="7" t="s">
        <v>47</v>
      </c>
      <c r="B1" t="s">
        <v>156</v>
      </c>
    </row>
    <row r="2" spans="1:7" x14ac:dyDescent="0.35">
      <c r="A2" s="7" t="s">
        <v>48</v>
      </c>
      <c r="B2" t="s">
        <v>127</v>
      </c>
    </row>
    <row r="3" spans="1:7" x14ac:dyDescent="0.35">
      <c r="A3" s="7"/>
    </row>
    <row r="4" spans="1:7" x14ac:dyDescent="0.35">
      <c r="A4" s="7" t="s">
        <v>49</v>
      </c>
      <c r="B4" t="s">
        <v>50</v>
      </c>
      <c r="F4" s="18"/>
    </row>
    <row r="5" spans="1:7" x14ac:dyDescent="0.35">
      <c r="A5" s="7" t="s">
        <v>51</v>
      </c>
      <c r="B5" t="s">
        <v>52</v>
      </c>
    </row>
    <row r="6" spans="1:7" x14ac:dyDescent="0.35">
      <c r="A6" s="7"/>
    </row>
    <row r="7" spans="1:7" ht="29" x14ac:dyDescent="0.35">
      <c r="B7" s="18" t="s">
        <v>150</v>
      </c>
      <c r="C7" s="18" t="s">
        <v>151</v>
      </c>
      <c r="D7" s="18" t="s">
        <v>152</v>
      </c>
      <c r="E7" s="18" t="s">
        <v>153</v>
      </c>
      <c r="F7" s="18" t="s">
        <v>154</v>
      </c>
      <c r="G7" s="18" t="s">
        <v>155</v>
      </c>
    </row>
    <row r="8" spans="1:7" x14ac:dyDescent="0.35">
      <c r="A8" t="s">
        <v>53</v>
      </c>
      <c r="B8">
        <v>40</v>
      </c>
      <c r="C8">
        <v>38</v>
      </c>
      <c r="D8">
        <v>36</v>
      </c>
      <c r="E8">
        <v>35</v>
      </c>
      <c r="F8">
        <v>26</v>
      </c>
    </row>
    <row r="9" spans="1:7" x14ac:dyDescent="0.35">
      <c r="A9" t="s">
        <v>54</v>
      </c>
      <c r="B9">
        <v>7</v>
      </c>
      <c r="C9">
        <v>7</v>
      </c>
      <c r="D9">
        <v>6</v>
      </c>
      <c r="E9">
        <v>7</v>
      </c>
      <c r="F9">
        <v>4</v>
      </c>
    </row>
    <row r="10" spans="1:7" x14ac:dyDescent="0.35">
      <c r="A10" t="s">
        <v>55</v>
      </c>
      <c r="B10">
        <v>19</v>
      </c>
      <c r="C10">
        <v>16</v>
      </c>
      <c r="D10">
        <v>16</v>
      </c>
      <c r="E10">
        <v>16</v>
      </c>
      <c r="F10">
        <v>11</v>
      </c>
    </row>
    <row r="11" spans="1:7" x14ac:dyDescent="0.35">
      <c r="A11" t="s">
        <v>56</v>
      </c>
      <c r="B11">
        <v>6</v>
      </c>
      <c r="C11">
        <v>5</v>
      </c>
      <c r="D11">
        <v>6</v>
      </c>
      <c r="E11">
        <v>5</v>
      </c>
      <c r="F11">
        <v>4</v>
      </c>
      <c r="G11">
        <v>3</v>
      </c>
    </row>
    <row r="29" spans="12:12" x14ac:dyDescent="0.35">
      <c r="L29" t="s">
        <v>57</v>
      </c>
    </row>
    <row r="39" spans="14:14" x14ac:dyDescent="0.35">
      <c r="N39" t="s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C20" sqref="C20"/>
    </sheetView>
  </sheetViews>
  <sheetFormatPr defaultRowHeight="14.5" x14ac:dyDescent="0.35"/>
  <cols>
    <col min="1" max="1" width="14.1796875" customWidth="1"/>
  </cols>
  <sheetData>
    <row r="1" spans="1:6" x14ac:dyDescent="0.35">
      <c r="A1" s="7" t="s">
        <v>47</v>
      </c>
      <c r="B1" t="s">
        <v>157</v>
      </c>
    </row>
    <row r="2" spans="1:6" x14ac:dyDescent="0.35">
      <c r="A2" s="7" t="s">
        <v>48</v>
      </c>
      <c r="B2" t="s">
        <v>58</v>
      </c>
    </row>
    <row r="4" spans="1:6" x14ac:dyDescent="0.35">
      <c r="A4" s="7" t="s">
        <v>49</v>
      </c>
      <c r="B4" t="s">
        <v>59</v>
      </c>
      <c r="F4" s="18"/>
    </row>
    <row r="5" spans="1:6" x14ac:dyDescent="0.35">
      <c r="A5" s="7" t="s">
        <v>51</v>
      </c>
    </row>
    <row r="7" spans="1:6" x14ac:dyDescent="0.35">
      <c r="A7" t="s">
        <v>60</v>
      </c>
      <c r="B7">
        <v>1989</v>
      </c>
      <c r="C7">
        <v>40</v>
      </c>
    </row>
    <row r="8" spans="1:6" x14ac:dyDescent="0.35">
      <c r="B8">
        <v>1998</v>
      </c>
      <c r="C8">
        <v>38</v>
      </c>
    </row>
    <row r="9" spans="1:6" x14ac:dyDescent="0.35">
      <c r="B9">
        <v>2003</v>
      </c>
      <c r="C9">
        <v>36</v>
      </c>
    </row>
    <row r="10" spans="1:6" x14ac:dyDescent="0.35">
      <c r="B10" t="s">
        <v>158</v>
      </c>
      <c r="C10">
        <v>35</v>
      </c>
    </row>
    <row r="11" spans="1:6" x14ac:dyDescent="0.35">
      <c r="B11">
        <v>2014</v>
      </c>
      <c r="C11">
        <v>26</v>
      </c>
    </row>
    <row r="12" spans="1:6" x14ac:dyDescent="0.35">
      <c r="B12">
        <v>2022</v>
      </c>
      <c r="C12">
        <v>18</v>
      </c>
    </row>
    <row r="14" spans="1:6" x14ac:dyDescent="0.35">
      <c r="A14" t="s">
        <v>61</v>
      </c>
      <c r="B14">
        <v>1989</v>
      </c>
      <c r="C14">
        <v>17</v>
      </c>
    </row>
    <row r="15" spans="1:6" x14ac:dyDescent="0.35">
      <c r="B15">
        <v>1998</v>
      </c>
      <c r="C15">
        <v>17</v>
      </c>
    </row>
    <row r="16" spans="1:6" x14ac:dyDescent="0.35">
      <c r="B16">
        <v>2003</v>
      </c>
      <c r="C16">
        <v>15</v>
      </c>
    </row>
    <row r="17" spans="2:3" x14ac:dyDescent="0.35">
      <c r="B17" t="s">
        <v>158</v>
      </c>
      <c r="C17">
        <v>14</v>
      </c>
    </row>
    <row r="18" spans="2:3" x14ac:dyDescent="0.35">
      <c r="B18">
        <v>2014</v>
      </c>
      <c r="C18">
        <v>6</v>
      </c>
    </row>
    <row r="19" spans="2:3" x14ac:dyDescent="0.35">
      <c r="B19">
        <v>2022</v>
      </c>
      <c r="C19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zoomScale="90" zoomScaleNormal="90" workbookViewId="0">
      <selection activeCell="B33" sqref="B33"/>
    </sheetView>
  </sheetViews>
  <sheetFormatPr defaultRowHeight="14.5" x14ac:dyDescent="0.35"/>
  <cols>
    <col min="1" max="1" width="17.7265625" customWidth="1"/>
  </cols>
  <sheetData>
    <row r="1" spans="1:6" x14ac:dyDescent="0.35">
      <c r="A1" s="7" t="s">
        <v>47</v>
      </c>
      <c r="B1" t="s">
        <v>159</v>
      </c>
    </row>
    <row r="2" spans="1:6" x14ac:dyDescent="0.35">
      <c r="A2" s="7" t="s">
        <v>48</v>
      </c>
      <c r="B2" t="s">
        <v>62</v>
      </c>
    </row>
    <row r="4" spans="1:6" x14ac:dyDescent="0.35">
      <c r="A4" s="7" t="s">
        <v>49</v>
      </c>
      <c r="B4" t="s">
        <v>59</v>
      </c>
      <c r="F4" s="18"/>
    </row>
    <row r="5" spans="1:6" x14ac:dyDescent="0.35">
      <c r="A5" s="7" t="s">
        <v>51</v>
      </c>
    </row>
    <row r="8" spans="1:6" x14ac:dyDescent="0.35">
      <c r="A8" s="7" t="s">
        <v>63</v>
      </c>
    </row>
    <row r="9" spans="1:6" x14ac:dyDescent="0.35">
      <c r="A9" t="s">
        <v>64</v>
      </c>
      <c r="B9">
        <v>18</v>
      </c>
    </row>
    <row r="10" spans="1:6" x14ac:dyDescent="0.35">
      <c r="A10" t="s">
        <v>65</v>
      </c>
      <c r="B10">
        <v>12</v>
      </c>
    </row>
    <row r="11" spans="1:6" x14ac:dyDescent="0.35">
      <c r="A11" t="s">
        <v>66</v>
      </c>
      <c r="B11">
        <v>20</v>
      </c>
    </row>
    <row r="13" spans="1:6" x14ac:dyDescent="0.35">
      <c r="A13" s="7"/>
    </row>
    <row r="21" spans="1:2" x14ac:dyDescent="0.35">
      <c r="A21" s="7" t="s">
        <v>67</v>
      </c>
    </row>
    <row r="22" spans="1:2" x14ac:dyDescent="0.35">
      <c r="A22" t="s">
        <v>68</v>
      </c>
      <c r="B22">
        <v>22</v>
      </c>
    </row>
    <row r="23" spans="1:2" x14ac:dyDescent="0.35">
      <c r="A23" t="s">
        <v>69</v>
      </c>
      <c r="B23">
        <v>22</v>
      </c>
    </row>
    <row r="24" spans="1:2" x14ac:dyDescent="0.35">
      <c r="A24" t="s">
        <v>70</v>
      </c>
      <c r="B24">
        <v>15</v>
      </c>
    </row>
    <row r="25" spans="1:2" x14ac:dyDescent="0.35">
      <c r="A25" t="s">
        <v>71</v>
      </c>
      <c r="B25">
        <v>9</v>
      </c>
    </row>
    <row r="27" spans="1:2" x14ac:dyDescent="0.35">
      <c r="A27" s="7" t="s">
        <v>72</v>
      </c>
    </row>
    <row r="28" spans="1:2" x14ac:dyDescent="0.35">
      <c r="A28" t="s">
        <v>73</v>
      </c>
      <c r="B28">
        <v>28</v>
      </c>
    </row>
    <row r="29" spans="1:2" x14ac:dyDescent="0.35">
      <c r="A29" t="s">
        <v>74</v>
      </c>
      <c r="B29">
        <v>22</v>
      </c>
    </row>
    <row r="30" spans="1:2" x14ac:dyDescent="0.35">
      <c r="A30" t="s">
        <v>75</v>
      </c>
      <c r="B30">
        <v>16</v>
      </c>
    </row>
    <row r="31" spans="1:2" x14ac:dyDescent="0.35">
      <c r="A31" t="s">
        <v>76</v>
      </c>
      <c r="B31">
        <v>12</v>
      </c>
    </row>
    <row r="32" spans="1:2" x14ac:dyDescent="0.35">
      <c r="A32" t="s">
        <v>77</v>
      </c>
      <c r="B32">
        <v>9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7" t="s">
        <v>47</v>
      </c>
      <c r="B1" t="s">
        <v>78</v>
      </c>
    </row>
    <row r="2" spans="1:2" x14ac:dyDescent="0.35">
      <c r="A2" s="7" t="s">
        <v>48</v>
      </c>
      <c r="B2" t="s">
        <v>62</v>
      </c>
    </row>
    <row r="5" spans="1:2" ht="26" x14ac:dyDescent="0.6">
      <c r="B5" s="8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9"/>
  <sheetViews>
    <sheetView zoomScale="90" zoomScaleNormal="90" workbookViewId="0">
      <selection activeCell="H12" sqref="H12"/>
    </sheetView>
  </sheetViews>
  <sheetFormatPr defaultRowHeight="14.5" x14ac:dyDescent="0.35"/>
  <sheetData>
    <row r="1" spans="1:8" x14ac:dyDescent="0.35">
      <c r="A1" s="7" t="s">
        <v>47</v>
      </c>
      <c r="B1" t="s">
        <v>160</v>
      </c>
    </row>
    <row r="2" spans="1:8" x14ac:dyDescent="0.35">
      <c r="A2" s="7" t="s">
        <v>48</v>
      </c>
      <c r="B2" t="s">
        <v>80</v>
      </c>
    </row>
    <row r="3" spans="1:8" x14ac:dyDescent="0.35">
      <c r="A3" s="7"/>
    </row>
    <row r="4" spans="1:8" x14ac:dyDescent="0.35">
      <c r="A4" s="7" t="s">
        <v>49</v>
      </c>
      <c r="F4" s="18"/>
    </row>
    <row r="5" spans="1:8" x14ac:dyDescent="0.35">
      <c r="A5" s="7" t="s">
        <v>51</v>
      </c>
    </row>
    <row r="7" spans="1:8" x14ac:dyDescent="0.35"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129</v>
      </c>
    </row>
    <row r="8" spans="1:8" x14ac:dyDescent="0.35">
      <c r="A8" s="1" t="s">
        <v>87</v>
      </c>
      <c r="B8">
        <v>77</v>
      </c>
      <c r="C8">
        <v>5</v>
      </c>
      <c r="D8">
        <v>7</v>
      </c>
      <c r="E8">
        <v>1</v>
      </c>
      <c r="F8">
        <v>4</v>
      </c>
      <c r="G8">
        <v>1</v>
      </c>
      <c r="H8">
        <v>5</v>
      </c>
    </row>
    <row r="9" spans="1:8" x14ac:dyDescent="0.35">
      <c r="A9" s="1" t="s">
        <v>88</v>
      </c>
      <c r="B9">
        <v>61</v>
      </c>
      <c r="C9">
        <v>7</v>
      </c>
      <c r="D9">
        <v>4</v>
      </c>
      <c r="E9">
        <v>10</v>
      </c>
      <c r="F9">
        <v>11</v>
      </c>
      <c r="G9">
        <v>2</v>
      </c>
      <c r="H9">
        <v>5</v>
      </c>
    </row>
    <row r="10" spans="1:8" x14ac:dyDescent="0.35">
      <c r="A10" s="1" t="s">
        <v>89</v>
      </c>
      <c r="B10">
        <v>38</v>
      </c>
      <c r="C10">
        <v>12</v>
      </c>
      <c r="D10">
        <v>2</v>
      </c>
      <c r="E10">
        <v>16</v>
      </c>
      <c r="F10">
        <v>29</v>
      </c>
      <c r="G10">
        <v>1</v>
      </c>
      <c r="H10">
        <v>2</v>
      </c>
    </row>
    <row r="11" spans="1:8" x14ac:dyDescent="0.35">
      <c r="A11" s="1" t="s">
        <v>90</v>
      </c>
      <c r="B11">
        <v>60</v>
      </c>
      <c r="C11">
        <v>8</v>
      </c>
      <c r="D11">
        <v>5</v>
      </c>
      <c r="E11">
        <v>8</v>
      </c>
      <c r="F11">
        <v>14</v>
      </c>
      <c r="G11">
        <v>1</v>
      </c>
      <c r="H11">
        <v>4</v>
      </c>
    </row>
    <row r="12" spans="1:8" x14ac:dyDescent="0.35">
      <c r="A12" s="1"/>
    </row>
    <row r="13" spans="1:8" x14ac:dyDescent="0.35">
      <c r="A13" s="1"/>
    </row>
    <row r="14" spans="1:8" x14ac:dyDescent="0.35">
      <c r="A14" s="1"/>
    </row>
    <row r="15" spans="1:8" x14ac:dyDescent="0.35">
      <c r="A15" s="1"/>
    </row>
    <row r="16" spans="1:8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59" spans="16:16" ht="20.5" x14ac:dyDescent="0.35">
      <c r="P59" s="10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5"/>
  <sheetViews>
    <sheetView topLeftCell="A7" zoomScale="80" zoomScaleNormal="80" workbookViewId="0">
      <selection activeCell="B26" sqref="B26"/>
    </sheetView>
  </sheetViews>
  <sheetFormatPr defaultRowHeight="14.5" x14ac:dyDescent="0.35"/>
  <cols>
    <col min="1" max="1" width="20" customWidth="1"/>
  </cols>
  <sheetData>
    <row r="2" spans="1:6" x14ac:dyDescent="0.35">
      <c r="A2" s="7" t="s">
        <v>47</v>
      </c>
      <c r="B2" t="s">
        <v>161</v>
      </c>
    </row>
    <row r="3" spans="1:6" x14ac:dyDescent="0.35">
      <c r="A3" s="7" t="s">
        <v>91</v>
      </c>
      <c r="B3" t="s">
        <v>133</v>
      </c>
    </row>
    <row r="4" spans="1:6" x14ac:dyDescent="0.35">
      <c r="A4" s="7"/>
    </row>
    <row r="5" spans="1:6" x14ac:dyDescent="0.35">
      <c r="A5" s="7" t="s">
        <v>49</v>
      </c>
      <c r="B5" t="s">
        <v>92</v>
      </c>
      <c r="F5" s="18"/>
    </row>
    <row r="6" spans="1:6" x14ac:dyDescent="0.35">
      <c r="A6" s="7" t="s">
        <v>51</v>
      </c>
    </row>
    <row r="7" spans="1:6" x14ac:dyDescent="0.35">
      <c r="A7" s="7"/>
    </row>
    <row r="8" spans="1:6" x14ac:dyDescent="0.35">
      <c r="A8" s="7" t="s">
        <v>135</v>
      </c>
    </row>
    <row r="9" spans="1:6" x14ac:dyDescent="0.35">
      <c r="B9" t="s">
        <v>93</v>
      </c>
      <c r="C9" t="s">
        <v>94</v>
      </c>
      <c r="D9" t="s">
        <v>95</v>
      </c>
    </row>
    <row r="10" spans="1:6" x14ac:dyDescent="0.35">
      <c r="A10" t="s">
        <v>130</v>
      </c>
      <c r="B10">
        <v>39</v>
      </c>
      <c r="C10">
        <v>29</v>
      </c>
      <c r="D10">
        <v>37</v>
      </c>
    </row>
    <row r="11" spans="1:6" x14ac:dyDescent="0.35">
      <c r="A11" t="s">
        <v>131</v>
      </c>
      <c r="B11">
        <v>71</v>
      </c>
      <c r="C11">
        <v>71</v>
      </c>
      <c r="D11">
        <v>71</v>
      </c>
    </row>
    <row r="12" spans="1:6" x14ac:dyDescent="0.35">
      <c r="A12" t="s">
        <v>132</v>
      </c>
      <c r="B12">
        <v>33</v>
      </c>
      <c r="C12">
        <v>20</v>
      </c>
      <c r="D12">
        <v>31</v>
      </c>
    </row>
    <row r="14" spans="1:6" x14ac:dyDescent="0.35">
      <c r="A14" s="7" t="s">
        <v>136</v>
      </c>
    </row>
    <row r="15" spans="1:6" x14ac:dyDescent="0.35">
      <c r="A15" t="s">
        <v>68</v>
      </c>
      <c r="B15">
        <v>11</v>
      </c>
    </row>
    <row r="16" spans="1:6" x14ac:dyDescent="0.35">
      <c r="A16" t="s">
        <v>69</v>
      </c>
      <c r="B16">
        <v>27</v>
      </c>
    </row>
    <row r="17" spans="1:2" x14ac:dyDescent="0.35">
      <c r="A17" t="s">
        <v>70</v>
      </c>
      <c r="B17">
        <v>31</v>
      </c>
    </row>
    <row r="18" spans="1:2" x14ac:dyDescent="0.35">
      <c r="A18" t="s">
        <v>71</v>
      </c>
      <c r="B18">
        <v>49</v>
      </c>
    </row>
    <row r="20" spans="1:2" x14ac:dyDescent="0.35">
      <c r="A20" s="7" t="s">
        <v>137</v>
      </c>
    </row>
    <row r="21" spans="1:2" x14ac:dyDescent="0.35">
      <c r="A21" t="s">
        <v>73</v>
      </c>
      <c r="B21">
        <v>14</v>
      </c>
    </row>
    <row r="22" spans="1:2" x14ac:dyDescent="0.35">
      <c r="A22" t="s">
        <v>74</v>
      </c>
      <c r="B22">
        <v>23</v>
      </c>
    </row>
    <row r="23" spans="1:2" x14ac:dyDescent="0.35">
      <c r="A23" t="s">
        <v>75</v>
      </c>
      <c r="B23">
        <v>29</v>
      </c>
    </row>
    <row r="24" spans="1:2" x14ac:dyDescent="0.35">
      <c r="A24" t="s">
        <v>76</v>
      </c>
      <c r="B24">
        <v>37</v>
      </c>
    </row>
    <row r="25" spans="1:2" x14ac:dyDescent="0.35">
      <c r="A25" t="s">
        <v>77</v>
      </c>
      <c r="B25">
        <v>51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5633-8A54-4F8D-BF00-DE072E0207E8}">
  <dimension ref="A2:F42"/>
  <sheetViews>
    <sheetView zoomScale="90" zoomScaleNormal="90" workbookViewId="0">
      <selection activeCell="A34" sqref="A34:G38"/>
    </sheetView>
  </sheetViews>
  <sheetFormatPr defaultRowHeight="14.5" x14ac:dyDescent="0.35"/>
  <cols>
    <col min="2" max="2" width="14.36328125" customWidth="1"/>
    <col min="3" max="3" width="17.90625" customWidth="1"/>
    <col min="4" max="4" width="7.26953125" customWidth="1"/>
  </cols>
  <sheetData>
    <row r="2" spans="1:6" x14ac:dyDescent="0.35">
      <c r="A2" s="7" t="s">
        <v>47</v>
      </c>
      <c r="B2" t="s">
        <v>162</v>
      </c>
    </row>
    <row r="3" spans="1:6" x14ac:dyDescent="0.35">
      <c r="A3" s="7" t="s">
        <v>91</v>
      </c>
      <c r="B3" t="s">
        <v>138</v>
      </c>
    </row>
    <row r="4" spans="1:6" x14ac:dyDescent="0.35">
      <c r="A4" s="7"/>
    </row>
    <row r="5" spans="1:6" x14ac:dyDescent="0.35">
      <c r="A5" s="7" t="s">
        <v>49</v>
      </c>
      <c r="B5" t="s">
        <v>92</v>
      </c>
      <c r="F5" s="18"/>
    </row>
    <row r="6" spans="1:6" x14ac:dyDescent="0.35">
      <c r="A6" s="7" t="s">
        <v>51</v>
      </c>
    </row>
    <row r="8" spans="1:6" x14ac:dyDescent="0.35">
      <c r="B8" t="s">
        <v>93</v>
      </c>
      <c r="C8" t="s">
        <v>94</v>
      </c>
    </row>
    <row r="9" spans="1:6" x14ac:dyDescent="0.35">
      <c r="A9" t="s">
        <v>139</v>
      </c>
      <c r="B9">
        <v>45</v>
      </c>
      <c r="C9">
        <v>64</v>
      </c>
    </row>
    <row r="10" spans="1:6" x14ac:dyDescent="0.35">
      <c r="A10" t="s">
        <v>140</v>
      </c>
      <c r="B10">
        <v>24</v>
      </c>
      <c r="C10">
        <v>36</v>
      </c>
    </row>
    <row r="11" spans="1:6" x14ac:dyDescent="0.35">
      <c r="A11" t="s">
        <v>141</v>
      </c>
      <c r="B11">
        <v>28</v>
      </c>
      <c r="C11">
        <v>17</v>
      </c>
    </row>
    <row r="15" spans="1:6" x14ac:dyDescent="0.35">
      <c r="A15" s="7" t="s">
        <v>67</v>
      </c>
      <c r="B15" t="s">
        <v>139</v>
      </c>
      <c r="C15" t="s">
        <v>140</v>
      </c>
      <c r="D15" t="s">
        <v>141</v>
      </c>
    </row>
    <row r="16" spans="1:6" x14ac:dyDescent="0.35">
      <c r="A16" t="s">
        <v>68</v>
      </c>
      <c r="B16">
        <v>35</v>
      </c>
      <c r="C16">
        <v>8</v>
      </c>
      <c r="D16">
        <v>67</v>
      </c>
    </row>
    <row r="17" spans="1:4" x14ac:dyDescent="0.35">
      <c r="A17" t="s">
        <v>69</v>
      </c>
      <c r="B17">
        <v>52</v>
      </c>
      <c r="C17">
        <v>28</v>
      </c>
      <c r="D17">
        <v>26</v>
      </c>
    </row>
    <row r="18" spans="1:4" x14ac:dyDescent="0.35">
      <c r="A18" t="s">
        <v>70</v>
      </c>
      <c r="B18">
        <v>33</v>
      </c>
      <c r="C18">
        <v>29</v>
      </c>
      <c r="D18">
        <v>20</v>
      </c>
    </row>
    <row r="19" spans="1:4" x14ac:dyDescent="0.35">
      <c r="A19" t="s">
        <v>71</v>
      </c>
      <c r="B19">
        <v>37</v>
      </c>
      <c r="C19">
        <v>27</v>
      </c>
      <c r="D19">
        <v>12</v>
      </c>
    </row>
    <row r="21" spans="1:4" x14ac:dyDescent="0.35">
      <c r="A21" s="7" t="s">
        <v>72</v>
      </c>
      <c r="B21" t="s">
        <v>139</v>
      </c>
      <c r="C21" t="s">
        <v>140</v>
      </c>
      <c r="D21" t="s">
        <v>141</v>
      </c>
    </row>
    <row r="22" spans="1:4" x14ac:dyDescent="0.35">
      <c r="A22" t="s">
        <v>73</v>
      </c>
      <c r="B22">
        <v>42</v>
      </c>
      <c r="C22">
        <v>15</v>
      </c>
      <c r="D22">
        <v>47</v>
      </c>
    </row>
    <row r="23" spans="1:4" x14ac:dyDescent="0.35">
      <c r="A23" t="s">
        <v>74</v>
      </c>
      <c r="B23">
        <v>49</v>
      </c>
      <c r="C23">
        <v>26</v>
      </c>
      <c r="D23">
        <v>31</v>
      </c>
    </row>
    <row r="24" spans="1:4" x14ac:dyDescent="0.35">
      <c r="A24" t="s">
        <v>75</v>
      </c>
      <c r="B24">
        <v>46</v>
      </c>
      <c r="C24">
        <v>26</v>
      </c>
      <c r="D24">
        <v>20</v>
      </c>
    </row>
    <row r="25" spans="1:4" x14ac:dyDescent="0.35">
      <c r="A25" t="s">
        <v>76</v>
      </c>
      <c r="B25">
        <v>56</v>
      </c>
      <c r="C25">
        <v>34</v>
      </c>
      <c r="D25">
        <v>17</v>
      </c>
    </row>
    <row r="26" spans="1:4" x14ac:dyDescent="0.35">
      <c r="A26" t="s">
        <v>77</v>
      </c>
      <c r="B26">
        <v>52</v>
      </c>
      <c r="C26">
        <v>32</v>
      </c>
      <c r="D26">
        <v>10</v>
      </c>
    </row>
    <row r="29" spans="1:4" x14ac:dyDescent="0.35">
      <c r="A29" t="s">
        <v>96</v>
      </c>
      <c r="B29" t="s">
        <v>139</v>
      </c>
      <c r="C29" t="s">
        <v>140</v>
      </c>
      <c r="D29" t="s">
        <v>142</v>
      </c>
    </row>
    <row r="30" spans="1:4" x14ac:dyDescent="0.35">
      <c r="A30" t="s">
        <v>64</v>
      </c>
      <c r="B30">
        <v>49</v>
      </c>
      <c r="C30">
        <v>26</v>
      </c>
      <c r="D30">
        <v>25</v>
      </c>
    </row>
    <row r="31" spans="1:4" x14ac:dyDescent="0.35">
      <c r="A31" t="s">
        <v>65</v>
      </c>
      <c r="B31">
        <v>52</v>
      </c>
      <c r="C31">
        <v>31</v>
      </c>
      <c r="D31">
        <v>15</v>
      </c>
    </row>
    <row r="32" spans="1:4" x14ac:dyDescent="0.35">
      <c r="A32" t="s">
        <v>66</v>
      </c>
      <c r="B32">
        <v>48</v>
      </c>
      <c r="C32">
        <v>24</v>
      </c>
      <c r="D32">
        <v>31</v>
      </c>
    </row>
    <row r="42" spans="4:4" ht="23.5" x14ac:dyDescent="0.55000000000000004">
      <c r="D42" s="20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12"/>
  <sheetViews>
    <sheetView zoomScale="90" zoomScaleNormal="90" workbookViewId="0">
      <selection activeCell="B2" sqref="B2"/>
    </sheetView>
  </sheetViews>
  <sheetFormatPr defaultRowHeight="14.5" x14ac:dyDescent="0.35"/>
  <cols>
    <col min="1" max="1" width="13" customWidth="1"/>
  </cols>
  <sheetData>
    <row r="2" spans="1:6" x14ac:dyDescent="0.35">
      <c r="A2" s="7" t="s">
        <v>47</v>
      </c>
      <c r="B2" t="s">
        <v>97</v>
      </c>
    </row>
    <row r="3" spans="1:6" x14ac:dyDescent="0.35">
      <c r="A3" s="7" t="s">
        <v>48</v>
      </c>
      <c r="B3" t="s">
        <v>143</v>
      </c>
    </row>
    <row r="5" spans="1:6" x14ac:dyDescent="0.35">
      <c r="A5" s="7" t="s">
        <v>49</v>
      </c>
      <c r="B5" t="s">
        <v>98</v>
      </c>
      <c r="F5" s="18"/>
    </row>
    <row r="6" spans="1:6" x14ac:dyDescent="0.35">
      <c r="A6" s="7" t="s">
        <v>51</v>
      </c>
      <c r="B6" t="s">
        <v>99</v>
      </c>
    </row>
    <row r="7" spans="1:6" x14ac:dyDescent="0.35">
      <c r="A7" s="7"/>
    </row>
    <row r="8" spans="1:6" ht="29" x14ac:dyDescent="0.35">
      <c r="C8" s="18" t="s">
        <v>100</v>
      </c>
      <c r="D8" s="18" t="s">
        <v>101</v>
      </c>
      <c r="E8" s="18" t="s">
        <v>102</v>
      </c>
    </row>
    <row r="9" spans="1:6" x14ac:dyDescent="0.35">
      <c r="B9" t="s">
        <v>103</v>
      </c>
      <c r="C9">
        <v>28</v>
      </c>
      <c r="D9">
        <v>27</v>
      </c>
      <c r="E9">
        <v>25</v>
      </c>
    </row>
    <row r="10" spans="1:6" x14ac:dyDescent="0.35">
      <c r="B10" t="s">
        <v>104</v>
      </c>
      <c r="C10">
        <v>30</v>
      </c>
      <c r="D10">
        <v>29</v>
      </c>
      <c r="E10">
        <v>25</v>
      </c>
    </row>
    <row r="11" spans="1:6" x14ac:dyDescent="0.35">
      <c r="B11" t="s">
        <v>105</v>
      </c>
      <c r="C11">
        <v>1</v>
      </c>
      <c r="D11">
        <v>1</v>
      </c>
      <c r="E11">
        <v>1</v>
      </c>
    </row>
    <row r="12" spans="1:6" x14ac:dyDescent="0.35">
      <c r="B12" t="s">
        <v>64</v>
      </c>
      <c r="C12">
        <f>SUM(C9:C11)</f>
        <v>59</v>
      </c>
      <c r="D12">
        <f>SUM(D9:D11)</f>
        <v>57</v>
      </c>
      <c r="E12">
        <f>SUM(E9:E11)</f>
        <v>51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s="7" t="s">
        <v>47</v>
      </c>
      <c r="B1" t="s">
        <v>106</v>
      </c>
    </row>
    <row r="2" spans="1:2" x14ac:dyDescent="0.35">
      <c r="A2" s="7" t="s">
        <v>48</v>
      </c>
      <c r="B2" t="s">
        <v>107</v>
      </c>
    </row>
    <row r="5" spans="1:2" ht="26" x14ac:dyDescent="0.6">
      <c r="B5" s="8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12"/>
  <sheetViews>
    <sheetView zoomScale="80" zoomScaleNormal="80" workbookViewId="0">
      <selection activeCell="B4" sqref="B4"/>
    </sheetView>
  </sheetViews>
  <sheetFormatPr defaultRowHeight="14.5" x14ac:dyDescent="0.35"/>
  <sheetData>
    <row r="2" spans="1:6" x14ac:dyDescent="0.35">
      <c r="A2" s="7" t="s">
        <v>108</v>
      </c>
      <c r="B2" t="s">
        <v>163</v>
      </c>
    </row>
    <row r="3" spans="1:6" x14ac:dyDescent="0.35">
      <c r="A3" s="7" t="s">
        <v>109</v>
      </c>
      <c r="B3" t="s">
        <v>144</v>
      </c>
    </row>
    <row r="4" spans="1:6" x14ac:dyDescent="0.35"/>
    <row r="5" spans="1:6" x14ac:dyDescent="0.35">
      <c r="A5" s="7" t="s">
        <v>49</v>
      </c>
      <c r="B5" t="s">
        <v>92</v>
      </c>
      <c r="F5" s="18"/>
    </row>
    <row r="6" spans="1:6" x14ac:dyDescent="0.35">
      <c r="A6" s="7" t="s">
        <v>51</v>
      </c>
    </row>
    <row r="7" spans="1:6" x14ac:dyDescent="0.35">
      <c r="A7" s="7"/>
      <c r="B7" t="s">
        <v>110</v>
      </c>
      <c r="E7" t="s">
        <v>111</v>
      </c>
    </row>
    <row r="8" spans="1:6" x14ac:dyDescent="0.35">
      <c r="B8" t="s">
        <v>112</v>
      </c>
      <c r="C8" t="s">
        <v>113</v>
      </c>
      <c r="E8" t="s">
        <v>112</v>
      </c>
      <c r="F8" t="s">
        <v>113</v>
      </c>
    </row>
    <row r="9" spans="1:6" x14ac:dyDescent="0.35">
      <c r="A9" t="s">
        <v>114</v>
      </c>
      <c r="B9">
        <v>20</v>
      </c>
      <c r="C9">
        <v>20</v>
      </c>
      <c r="E9">
        <v>4</v>
      </c>
      <c r="F9">
        <v>14</v>
      </c>
    </row>
    <row r="10" spans="1:6" x14ac:dyDescent="0.35">
      <c r="A10" t="s">
        <v>115</v>
      </c>
      <c r="B10">
        <v>51</v>
      </c>
      <c r="C10">
        <v>70</v>
      </c>
      <c r="E10">
        <v>51</v>
      </c>
      <c r="F10">
        <v>74</v>
      </c>
    </row>
    <row r="11" spans="1:6" x14ac:dyDescent="0.35">
      <c r="A11" t="s">
        <v>56</v>
      </c>
      <c r="B11">
        <v>25</v>
      </c>
      <c r="C11">
        <v>9</v>
      </c>
      <c r="E11">
        <v>25</v>
      </c>
      <c r="F11">
        <v>9</v>
      </c>
    </row>
    <row r="12" spans="1:6" x14ac:dyDescent="0.35">
      <c r="A12" t="s">
        <v>116</v>
      </c>
      <c r="B12">
        <v>4</v>
      </c>
      <c r="C12">
        <v>1</v>
      </c>
      <c r="E12">
        <v>20</v>
      </c>
      <c r="F12">
        <v>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N38"/>
  <sheetViews>
    <sheetView topLeftCell="A17" zoomScaleNormal="100" workbookViewId="0">
      <selection activeCell="O38" sqref="O38"/>
    </sheetView>
  </sheetViews>
  <sheetFormatPr defaultRowHeight="14.5" x14ac:dyDescent="0.35"/>
  <sheetData>
    <row r="2" spans="1:7" x14ac:dyDescent="0.35">
      <c r="A2" s="7" t="s">
        <v>47</v>
      </c>
      <c r="B2" t="s">
        <v>164</v>
      </c>
    </row>
    <row r="3" spans="1:7" x14ac:dyDescent="0.35">
      <c r="A3" s="7" t="s">
        <v>48</v>
      </c>
      <c r="B3" t="s">
        <v>145</v>
      </c>
    </row>
    <row r="5" spans="1:7" x14ac:dyDescent="0.35">
      <c r="A5" s="7" t="s">
        <v>49</v>
      </c>
      <c r="B5" t="s">
        <v>117</v>
      </c>
      <c r="F5" s="18"/>
    </row>
    <row r="6" spans="1:7" x14ac:dyDescent="0.35">
      <c r="A6" s="7" t="s">
        <v>118</v>
      </c>
    </row>
    <row r="7" spans="1:7" x14ac:dyDescent="0.35">
      <c r="A7" s="7"/>
    </row>
    <row r="8" spans="1:7" ht="29" x14ac:dyDescent="0.35">
      <c r="B8" s="18" t="s">
        <v>150</v>
      </c>
      <c r="C8" s="18" t="s">
        <v>151</v>
      </c>
      <c r="D8" s="18" t="s">
        <v>152</v>
      </c>
      <c r="E8" s="18" t="s">
        <v>153</v>
      </c>
      <c r="F8" s="18" t="s">
        <v>154</v>
      </c>
      <c r="G8" s="18" t="s">
        <v>155</v>
      </c>
    </row>
    <row r="9" spans="1:7" x14ac:dyDescent="0.35">
      <c r="A9" t="s">
        <v>114</v>
      </c>
      <c r="B9">
        <v>10</v>
      </c>
      <c r="C9">
        <v>12</v>
      </c>
      <c r="D9">
        <v>12</v>
      </c>
      <c r="E9">
        <v>12</v>
      </c>
      <c r="F9">
        <v>9</v>
      </c>
      <c r="G9">
        <v>7</v>
      </c>
    </row>
    <row r="10" spans="1:7" x14ac:dyDescent="0.35">
      <c r="A10" t="s">
        <v>119</v>
      </c>
      <c r="B10">
        <v>14</v>
      </c>
      <c r="C10">
        <v>15</v>
      </c>
      <c r="D10">
        <v>23</v>
      </c>
      <c r="E10">
        <v>25</v>
      </c>
      <c r="F10">
        <v>33</v>
      </c>
      <c r="G10">
        <v>45</v>
      </c>
    </row>
    <row r="12" spans="1:7" ht="29" x14ac:dyDescent="0.35">
      <c r="B12" s="18" t="s">
        <v>150</v>
      </c>
      <c r="C12" s="18" t="s">
        <v>151</v>
      </c>
      <c r="D12" s="18" t="s">
        <v>152</v>
      </c>
      <c r="E12" s="18" t="s">
        <v>153</v>
      </c>
      <c r="F12" s="18" t="s">
        <v>154</v>
      </c>
      <c r="G12" s="18" t="s">
        <v>155</v>
      </c>
    </row>
    <row r="13" spans="1:7" x14ac:dyDescent="0.35">
      <c r="A13" t="s">
        <v>114</v>
      </c>
      <c r="B13">
        <v>10</v>
      </c>
      <c r="C13">
        <v>12</v>
      </c>
      <c r="D13">
        <v>12</v>
      </c>
      <c r="E13">
        <v>12</v>
      </c>
      <c r="F13">
        <v>9</v>
      </c>
      <c r="G13">
        <v>7</v>
      </c>
    </row>
    <row r="14" spans="1:7" x14ac:dyDescent="0.35">
      <c r="A14" t="s">
        <v>119</v>
      </c>
      <c r="B14">
        <v>14</v>
      </c>
      <c r="C14">
        <v>15</v>
      </c>
      <c r="D14">
        <v>23</v>
      </c>
      <c r="E14">
        <v>25</v>
      </c>
      <c r="F14">
        <v>33</v>
      </c>
      <c r="G14">
        <v>45</v>
      </c>
    </row>
    <row r="28" spans="12:12" x14ac:dyDescent="0.35">
      <c r="L28" t="s">
        <v>57</v>
      </c>
    </row>
    <row r="38" spans="14:14" x14ac:dyDescent="0.35">
      <c r="N38" t="s">
        <v>57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B16F-4A2E-4E47-B3ED-49D8F15BC90D}">
  <dimension ref="A1:F11"/>
  <sheetViews>
    <sheetView topLeftCell="A4" workbookViewId="0">
      <selection activeCell="S9" sqref="S9"/>
    </sheetView>
  </sheetViews>
  <sheetFormatPr defaultRowHeight="14.5" x14ac:dyDescent="0.35"/>
  <sheetData>
    <row r="1" spans="1:6" x14ac:dyDescent="0.35">
      <c r="A1" s="7" t="s">
        <v>120</v>
      </c>
      <c r="B1" t="s">
        <v>121</v>
      </c>
    </row>
    <row r="2" spans="1:6" x14ac:dyDescent="0.35">
      <c r="A2" s="7" t="s">
        <v>48</v>
      </c>
      <c r="B2" t="s">
        <v>146</v>
      </c>
    </row>
    <row r="4" spans="1:6" x14ac:dyDescent="0.35">
      <c r="A4" s="7" t="s">
        <v>49</v>
      </c>
      <c r="B4" t="s">
        <v>122</v>
      </c>
      <c r="F4" s="18"/>
    </row>
    <row r="5" spans="1:6" x14ac:dyDescent="0.35">
      <c r="A5" s="7" t="s">
        <v>51</v>
      </c>
    </row>
    <row r="6" spans="1:6" x14ac:dyDescent="0.35">
      <c r="A6" s="7"/>
    </row>
    <row r="7" spans="1:6" ht="43.5" x14ac:dyDescent="0.35">
      <c r="C7" s="18" t="s">
        <v>123</v>
      </c>
      <c r="D7" s="18" t="s">
        <v>124</v>
      </c>
      <c r="E7" t="s">
        <v>64</v>
      </c>
    </row>
    <row r="8" spans="1:6" x14ac:dyDescent="0.35">
      <c r="B8" t="s">
        <v>103</v>
      </c>
      <c r="C8">
        <v>27</v>
      </c>
      <c r="D8">
        <v>20</v>
      </c>
      <c r="E8">
        <v>24</v>
      </c>
    </row>
    <row r="9" spans="1:6" x14ac:dyDescent="0.35">
      <c r="B9" t="s">
        <v>104</v>
      </c>
      <c r="C9">
        <v>9</v>
      </c>
      <c r="D9">
        <v>7</v>
      </c>
      <c r="E9">
        <v>8</v>
      </c>
    </row>
    <row r="10" spans="1:6" x14ac:dyDescent="0.35">
      <c r="B10" t="s">
        <v>105</v>
      </c>
      <c r="C10">
        <v>1</v>
      </c>
      <c r="D10">
        <v>1</v>
      </c>
      <c r="E10">
        <v>1</v>
      </c>
    </row>
    <row r="11" spans="1:6" x14ac:dyDescent="0.35">
      <c r="B11" t="s">
        <v>64</v>
      </c>
      <c r="C11">
        <f>SUM(C8:C10)</f>
        <v>37</v>
      </c>
      <c r="D11">
        <f>SUM(D8:D10)</f>
        <v>28</v>
      </c>
      <c r="E11">
        <f>SUM(E8:E10)</f>
        <v>33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5AA6-745C-4489-A1E1-C0B69A3070F7}">
  <dimension ref="A1:F29"/>
  <sheetViews>
    <sheetView tabSelected="1" zoomScale="90" zoomScaleNormal="90" workbookViewId="0">
      <selection activeCell="B30" sqref="B30"/>
    </sheetView>
  </sheetViews>
  <sheetFormatPr defaultRowHeight="14.5" x14ac:dyDescent="0.35"/>
  <sheetData>
    <row r="1" spans="1:6" x14ac:dyDescent="0.35">
      <c r="A1" s="7" t="s">
        <v>47</v>
      </c>
      <c r="B1" t="s">
        <v>165</v>
      </c>
    </row>
    <row r="2" spans="1:6" x14ac:dyDescent="0.35">
      <c r="A2" s="7" t="s">
        <v>48</v>
      </c>
      <c r="B2" t="s">
        <v>147</v>
      </c>
    </row>
    <row r="4" spans="1:6" x14ac:dyDescent="0.35">
      <c r="A4" s="7" t="s">
        <v>49</v>
      </c>
      <c r="B4" t="s">
        <v>59</v>
      </c>
      <c r="F4" s="18"/>
    </row>
    <row r="5" spans="1:6" x14ac:dyDescent="0.35">
      <c r="A5" s="7" t="s">
        <v>51</v>
      </c>
    </row>
    <row r="7" spans="1:6" x14ac:dyDescent="0.35">
      <c r="A7" s="7" t="s">
        <v>96</v>
      </c>
    </row>
    <row r="8" spans="1:6" x14ac:dyDescent="0.35">
      <c r="A8" t="s">
        <v>64</v>
      </c>
      <c r="B8">
        <v>49</v>
      </c>
    </row>
    <row r="9" spans="1:6" x14ac:dyDescent="0.35">
      <c r="A9" t="s">
        <v>65</v>
      </c>
      <c r="B9">
        <v>56</v>
      </c>
    </row>
    <row r="10" spans="1:6" x14ac:dyDescent="0.35">
      <c r="A10" t="s">
        <v>66</v>
      </c>
      <c r="B10">
        <v>43</v>
      </c>
    </row>
    <row r="12" spans="1:6" x14ac:dyDescent="0.35">
      <c r="A12" s="7"/>
    </row>
    <row r="18" spans="1:2" x14ac:dyDescent="0.35">
      <c r="A18" s="7" t="s">
        <v>125</v>
      </c>
    </row>
    <row r="19" spans="1:2" x14ac:dyDescent="0.35">
      <c r="A19" t="s">
        <v>68</v>
      </c>
      <c r="B19">
        <v>20</v>
      </c>
    </row>
    <row r="20" spans="1:2" x14ac:dyDescent="0.35">
      <c r="A20" t="s">
        <v>69</v>
      </c>
      <c r="B20">
        <v>39</v>
      </c>
    </row>
    <row r="21" spans="1:2" x14ac:dyDescent="0.35">
      <c r="A21" t="s">
        <v>70</v>
      </c>
      <c r="B21">
        <v>53</v>
      </c>
    </row>
    <row r="22" spans="1:2" x14ac:dyDescent="0.35">
      <c r="A22" t="s">
        <v>71</v>
      </c>
      <c r="B22">
        <v>65</v>
      </c>
    </row>
    <row r="24" spans="1:2" x14ac:dyDescent="0.35">
      <c r="A24" s="7" t="s">
        <v>72</v>
      </c>
    </row>
    <row r="25" spans="1:2" x14ac:dyDescent="0.35">
      <c r="A25" t="s">
        <v>73</v>
      </c>
      <c r="B25">
        <v>22</v>
      </c>
    </row>
    <row r="26" spans="1:2" x14ac:dyDescent="0.35">
      <c r="A26" t="s">
        <v>74</v>
      </c>
      <c r="B26">
        <v>38</v>
      </c>
    </row>
    <row r="27" spans="1:2" x14ac:dyDescent="0.35">
      <c r="A27" t="s">
        <v>75</v>
      </c>
      <c r="B27">
        <v>48</v>
      </c>
    </row>
    <row r="28" spans="1:2" x14ac:dyDescent="0.35">
      <c r="A28" t="s">
        <v>76</v>
      </c>
      <c r="B28">
        <v>56</v>
      </c>
    </row>
    <row r="29" spans="1:2" x14ac:dyDescent="0.35">
      <c r="A29" t="s">
        <v>77</v>
      </c>
      <c r="B29">
        <v>65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923CE670D4A418659949294E8004B" ma:contentTypeVersion="5" ma:contentTypeDescription="Create a new document." ma:contentTypeScope="" ma:versionID="7501c9b1720132332c35e7d73bf29d33">
  <xsd:schema xmlns:xsd="http://www.w3.org/2001/XMLSchema" xmlns:xs="http://www.w3.org/2001/XMLSchema" xmlns:p="http://schemas.microsoft.com/office/2006/metadata/properties" xmlns:ns2="d16efad5-0601-4cf0-b7c2-89968258c777" xmlns:ns3="324e1daa-2654-445b-b842-25cc97de3cb7" targetNamespace="http://schemas.microsoft.com/office/2006/metadata/properties" ma:root="true" ma:fieldsID="a8470e6235a7a758dba871510eabd28a" ns2:_="" ns3:_="">
    <xsd:import namespace="d16efad5-0601-4cf0-b7c2-89968258c777"/>
    <xsd:import namespace="324e1daa-2654-445b-b842-25cc97de3cb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S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efad5-0601-4cf0-b7c2-89968258c77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4e1daa-2654-445b-b842-25cc97de3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Stage" ma:index="15" nillable="true" ma:displayName="Stage" ma:format="Dropdown" ma:internalName="Stage">
      <xsd:simpleType>
        <xsd:restriction base="dms:Choice">
          <xsd:enumeration value="Draft"/>
          <xsd:enumeration value="SM reviewing"/>
          <xsd:enumeration value="Ready for formatting"/>
          <xsd:enumeration value="Formatting in process"/>
          <xsd:enumeration value="Formatted"/>
          <xsd:enumeration value="Ready for editing"/>
          <xsd:enumeration value="Editing in process"/>
          <xsd:enumeration value="Edited"/>
          <xsd:enumeration value="Proofing"/>
          <xsd:enumeration value="Proofed"/>
          <xsd:enumeration value="SM reviewed"/>
          <xsd:enumeration value="Country Review (PDF)"/>
          <xsd:enumeration value="Accepted (PDF)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16efad5-0601-4cf0-b7c2-89968258c777">VMX3MACP777Z-109297004-217</_dlc_DocId>
    <_dlc_DocIdUrl xmlns="d16efad5-0601-4cf0-b7c2-89968258c777">
      <Url>https://icfonline.sharepoint.com/sites/ihd-dhs/dhs8surveys/KenyaDHS2022/_layouts/15/DocIdRedir.aspx?ID=VMX3MACP777Z-109297004-217</Url>
      <Description>VMX3MACP777Z-109297004-217</Description>
    </_dlc_DocIdUrl>
    <Stage xmlns="324e1daa-2654-445b-b842-25cc97de3cb7">;#Draft;#</Stage>
  </documentManagement>
</p:properties>
</file>

<file path=customXml/itemProps1.xml><?xml version="1.0" encoding="utf-8"?>
<ds:datastoreItem xmlns:ds="http://schemas.openxmlformats.org/officeDocument/2006/customXml" ds:itemID="{83B30D95-D6A9-4EB4-91A5-D458F162F51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C6EDAFB-B047-4528-A609-5934C1268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38563-BF6C-41DA-8E84-649C7AA9F932}"/>
</file>

<file path=customXml/itemProps4.xml><?xml version="1.0" encoding="utf-8"?>
<ds:datastoreItem xmlns:ds="http://schemas.openxmlformats.org/officeDocument/2006/customXml" ds:itemID="{96850762-1A6F-44E4-8471-4560E161441E}">
  <ds:schemaRefs>
    <ds:schemaRef ds:uri="http://purl.org/dc/dcmitype/"/>
    <ds:schemaRef ds:uri="http://schemas.microsoft.com/office/2006/documentManagement/types"/>
    <ds:schemaRef ds:uri="http://purl.org/dc/elements/1.1/"/>
    <ds:schemaRef ds:uri="9bd4f9d7-fc0a-4f82-ab06-8935c56d2fcd"/>
    <ds:schemaRef ds:uri="http://schemas.microsoft.com/office/infopath/2007/PartnerControls"/>
    <ds:schemaRef ds:uri="http://schemas.openxmlformats.org/package/2006/metadata/core-properties"/>
    <ds:schemaRef ds:uri="d16efad5-0601-4cf0-b7c2-89968258c777"/>
    <ds:schemaRef ds:uri="http://schemas.microsoft.com/office/2006/metadata/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List of graphics Ch11</vt:lpstr>
      <vt:lpstr>11.1 Trends in nut status</vt:lpstr>
      <vt:lpstr>11.2 Trends in stunting</vt:lpstr>
      <vt:lpstr>11.3 stunting by background</vt:lpstr>
      <vt:lpstr>11.4 stunting map</vt:lpstr>
      <vt:lpstr>11.5 BF by age</vt:lpstr>
      <vt:lpstr>11.6 IYCF MAD</vt:lpstr>
      <vt:lpstr>11.7 Unhealthy food kids</vt:lpstr>
      <vt:lpstr>11.8 Childrens Anemia trends</vt:lpstr>
      <vt:lpstr>11.9 Anemia map</vt:lpstr>
      <vt:lpstr>11.10 Adol and adult nutrition</vt:lpstr>
      <vt:lpstr>11.11 Trends in adult nutrition</vt:lpstr>
      <vt:lpstr>11.12 Anemia in women</vt:lpstr>
      <vt:lpstr>11.13 MDD-W</vt:lpstr>
    </vt:vector>
  </TitlesOfParts>
  <Manager/>
  <Company>ICF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 R Nybro</dc:creator>
  <cp:keywords/>
  <dc:description/>
  <cp:lastModifiedBy>Behague, Sabina</cp:lastModifiedBy>
  <cp:revision/>
  <dcterms:created xsi:type="dcterms:W3CDTF">2015-05-20T18:05:49Z</dcterms:created>
  <dcterms:modified xsi:type="dcterms:W3CDTF">2023-02-14T15:32:42Z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0x010100635923CE670D4A418659949294E8004B</vt:lpwstr>
  </property>
  <property fmtid="{D5CDD505-2E9C-101B-9397-08002B2CF9AE}" pid="3" name="_dlc_DocIdItemGuid">
    <vt:lpwstr>a6340ea2-b3be-4abb-867d-6ea7ad1f019d</vt:lpwstr>
  </property>
  <property fmtid="{D5CDD505-2E9C-101B-9397-08002B2CF9AE}" pid="4" name="AuthorIds_UIVersion_512">
    <vt:lpwstr>548</vt:lpwstr>
  </property>
  <property fmtid="{D5CDD505-2E9C-101B-9397-08002B2CF9AE}" pid="5" name="MediaServiceImageTags">
    <vt:lpwstr/>
  </property>
  <property fmtid="{D5CDD505-2E9C-101B-9397-08002B2CF9AE}" pid="6" name="Stage">
    <vt:lpwstr>;#Draft;#</vt:lpwstr>
  </property>
</Properties>
</file>